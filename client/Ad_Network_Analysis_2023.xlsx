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vertising" sheetId="1" r:id="rId5"/>
    <sheet state="visible" name="Analytics" sheetId="2" r:id="rId6"/>
    <sheet state="visible" name="FingerprintGen" sheetId="3" r:id="rId7"/>
    <sheet state="visible" name="FingerprintInv" sheetId="4" r:id="rId8"/>
    <sheet state="visible" name="Social" sheetId="5" r:id="rId9"/>
    <sheet state="visible" name="Results" sheetId="6" r:id="rId10"/>
    <sheet state="visible" name="Methodology" sheetId="7" r:id="rId11"/>
    <sheet state="visible" name="Twitter" sheetId="8" r:id="rId12"/>
  </sheets>
  <definedNames/>
  <calcPr/>
</workbook>
</file>

<file path=xl/sharedStrings.xml><?xml version="1.0" encoding="utf-8"?>
<sst xmlns="http://schemas.openxmlformats.org/spreadsheetml/2006/main" count="1245" uniqueCount="797">
  <si>
    <t>ID</t>
  </si>
  <si>
    <t>Network URL 
[URL]</t>
  </si>
  <si>
    <t>Date of Analysis [DATE]</t>
  </si>
  <si>
    <t>Reviewer 
[Name]</t>
  </si>
  <si>
    <t>Date of Selling/Sharing (Buying/Collecting) Doublechecked by SZ 
[DATE]</t>
  </si>
  <si>
    <t>Crosslisted 
[0, 1]</t>
  </si>
  <si>
    <t>Crosslisted Category 
[Category Name]</t>
  </si>
  <si>
    <t>Targeted Advertising 
[0, 1]</t>
  </si>
  <si>
    <t>Evidence</t>
  </si>
  <si>
    <t>Profiling 
[0, 1]</t>
  </si>
  <si>
    <t>Selling/Sharing (Buying/Collecting)
[0, 1]</t>
  </si>
  <si>
    <t>Setting: To Opt Out 
[0, 1]</t>
  </si>
  <si>
    <t>Selling By Default 
[0, 1]</t>
  </si>
  <si>
    <t>Sign of Not Selling 
[0, 1]</t>
  </si>
  <si>
    <t>What is it 
[How it opts out]</t>
  </si>
  <si>
    <t>Relevant URLs 
[URL]</t>
  </si>
  <si>
    <t>http://www.activeconversion.com/</t>
  </si>
  <si>
    <t>Sophie</t>
  </si>
  <si>
    <t>We may collect information about you from other sources, including our partners, and combine this information with the Personal Information provided by you. This helps us update our records, identify new customers, create tailored advertising, and analyze overall trends so we may facilitate and provide relevant content, event promotions, and services that may be of interest to you.</t>
  </si>
  <si>
    <t>We may collect information about you from other sources, including our partners, and combine this information with the Personal Information provided by you. This helps us update our records, identify new customers, create tailored advertising, and analyze overall trends so we may facilitate and provide relevant content, event promotions, and services that may be of interest to you.
Our platforms rely heavily on the sharing and management of data. As such, we have worked diligently to ensure we comply with regulations across the globe including GDPR, PIPEDA, and the California Privacy Rights Act.</t>
  </si>
  <si>
    <t>https://activeiq.co/privacy-data/
https://activeiq.co/privacy/</t>
  </si>
  <si>
    <t>https://adaptmx.com/</t>
  </si>
  <si>
    <t>FingerprintInv</t>
  </si>
  <si>
    <t>We use the information we collect to provide and improve Monet Engine Services, including for the following purposes:
Serving ads: Allowing publishers to offer advertising inventory in their mobile apps and websites, and advertisers to bid on and fill that inventory.</t>
  </si>
  <si>
    <t>When you interact with a website or app that uses the Monet Engine Services, we may collect information about your device and the ads you view or click. The Monet Engine Services are designed to avoid collecting information that identifies you personally, such as your name, address, or email address.</t>
  </si>
  <si>
    <t>We share with advertiser customers information so that they can decide whether to bid on ad inventory or serve an advertisement and choose the best ad for that device. Monet Engine Customers are obligated to use the information they receive in compliance with applicable laws and regulations. ... The California Consumer Privacy Act (CCPA) requires to disclose to California residents below ... The categories of information that we “sell” or discloses to third parties ... Information as to how you can access, delete, or opt-out of the sale of your personal information.</t>
  </si>
  <si>
    <t>Form that's a link to One Trust</t>
  </si>
  <si>
    <t>Nothing on the actual website</t>
  </si>
  <si>
    <t>https://adaptmx.com/privacy-policy/</t>
  </si>
  <si>
    <t>https://adman.gr/</t>
  </si>
  <si>
    <t>Oliver</t>
  </si>
  <si>
    <t>"ADMAN and GRXchange may use data it processes to limit the number of times a user sees a particular ad, to customize or personalize ads based on the context of the page or location(country) of the user, to determine the effectiveness of the ads, and for identifying fraudulent activity."</t>
  </si>
  <si>
    <t>ADMAN and GRXchange may use data it processes to limit the number of times a user sees a particular ad, to customize or personalize ads based on the context of the page or location(country) of the user, to determine the effectiveness of the ads, and for identifying fraudulent activity.</t>
  </si>
  <si>
    <t>https://adman.gr/privacy</t>
  </si>
  <si>
    <t>http://www.admedia.com/</t>
  </si>
  <si>
    <t>"These cookies collect information about your browsing habits in order to make advertising more relevant to you and your interests."</t>
  </si>
  <si>
    <r>
      <rPr>
        <rFont val="Times New Roman"/>
        <sz val="11.0"/>
      </rPr>
      <t xml:space="preserve">"At times, we may find it necessary to use personally identifiable information as a means to keep you informed of other possible products and/or services that may be available to you from </t>
    </r>
    <r>
      <rPr>
        <rFont val="Times New Roman"/>
        <color rgb="FF1155CC"/>
        <sz val="11.0"/>
        <u/>
      </rPr>
      <t>www.admedia.com</t>
    </r>
    <r>
      <rPr>
        <rFont val="Times New Roman"/>
        <sz val="11.0"/>
      </rPr>
      <t>"</t>
    </r>
  </si>
  <si>
    <t xml:space="preserve">"Marketing or Advertising Cookies : These cookies collect information about your browsing habits in order to make advertising more relevant to you and your interests." ... Under this Privacy Policy, and by law if you are a resident of California, you have the following rights: ... The right to say no to the sale of Personal Data. You also have the right to ask AdMedia not to sell your Personal Data to third parties. You can submit such a request by visiting our "Do Not Sell My Personal  Information" section or web page. </t>
  </si>
  <si>
    <t>"opt out of the use of your personal information for interest-based advertising purposes and these potential sales as defined under CCPA law, you may do so by emailing legal@admedia.com"</t>
  </si>
  <si>
    <t>Proof by existence of opt out mechanism</t>
  </si>
  <si>
    <t>Unclear, especially when done through email</t>
  </si>
  <si>
    <t>https://admedia.com/privacy/</t>
  </si>
  <si>
    <t>http://www.adperfect.com/</t>
  </si>
  <si>
    <t>"we collect and store personal information from individuals who visit our Customers’ websites and interact with our platform for purposes of creating an obituary or classified advertisement"</t>
  </si>
  <si>
    <t>"Categories of personal information that we may collect automatically when you use the Services include"</t>
  </si>
  <si>
    <t>AdPerfect is a software-as-a-service provider that licenses the use of its obituary and classified advertisement creation tool to newspapers (our “Customers”). As part of providing these Services, we collect and store personal information from individuals who visit our Customers’ websites and interact with our platform for purposes of creating an obituary or classified advertisement (“End Users”). ... We do not sell personal information. ... As a California resident, you have the following rights with respect to your personal information: You have the right to request to know about personal information collected, disclosed, or sold.</t>
  </si>
  <si>
    <t>https://www.adperfect.com/privacy-policy</t>
  </si>
  <si>
    <t>https://www.adtheorent.com/</t>
  </si>
  <si>
    <t>"AdTheorent is a publicly traded (NASDAQ-listed) digital ad network and DSP which uses machine learning, data science and related technology to assist advertisers and advertising agencies in their efforts to deliver targeted and useful digital advertisements to consumers."</t>
  </si>
  <si>
    <t>"As such, we do engage in “profiling.”"</t>
  </si>
  <si>
    <t>AdTheorent is not a "seller" of Personal Information but AdTheorent is a downstream "user" or certain Personal Information provided by publishers.</t>
  </si>
  <si>
    <r>
      <rPr>
        <rFont val="Times New Roman"/>
        <sz val="11.0"/>
      </rPr>
      <t xml:space="preserve">any User is free to Opt-Out of any such future practice or use of User-specific behavioral, geocoding or interest-based targeted advertising by clicking </t>
    </r>
    <r>
      <rPr>
        <rFont val="Times New Roman"/>
        <color rgb="FF1155CC"/>
        <sz val="11.0"/>
        <u/>
      </rPr>
      <t>here</t>
    </r>
    <r>
      <rPr>
        <rFont val="Times New Roman"/>
        <sz val="11.0"/>
      </rPr>
      <t>.</t>
    </r>
  </si>
  <si>
    <t>It places a unique cookie with your user ID that stops targeted advertising</t>
  </si>
  <si>
    <t>https://opt-out.adentifi.com/</t>
  </si>
  <si>
    <t>https://opt-out.adentifi.com/
https://www.adtheorent.com/privacy-policy</t>
  </si>
  <si>
    <t>http://adventive.com/</t>
  </si>
  <si>
    <t>For example, we may combine information entered on the Adventive sales form with information received from a third-party sales integration vendor to enhance our ability to market our services to Customers or potential customers.</t>
  </si>
  <si>
    <t>This information may include, but is not limited too, Internet Protocol (IP) addresses, system configuration information, referring URLs, locale and language settings.</t>
  </si>
  <si>
    <t>Effective January 1, 2020, all agreement(s) entered into by and between Adventive, Inc. and You addressing our processing of Personal Information on your company’s behalf (the “Agreements”) are hereby amended to clarify Adventive as a Service Provider</t>
  </si>
  <si>
    <t>you may opt-out by clicking here to access tools from the Network Advertising Initiative</t>
  </si>
  <si>
    <t>Proof by existence of optout</t>
  </si>
  <si>
    <t>https://adventive.com/legal/privacy-policy/
https://adventive.com/legal/ccpa/
https://static.adventivecdn.com/legal/2020-01-01-Adventive-CCPA-Amendment.pdf</t>
  </si>
  <si>
    <t>http://www.audience2media.com/</t>
  </si>
  <si>
    <t>"We further create behavioural categories by simply identifying which websites' online users visit"</t>
  </si>
  <si>
    <t>" create real time interests of the anonymous online user, based on their web surfing habits."</t>
  </si>
  <si>
    <t>Audience2Media is an Audience Targeting Platform (KRYPTON) &amp; Influencer Marketing Platform (IMPACT). Audience2Media specialises in targeting online users by displaying relevant adverts on specific websites a mobile apps. ... Publishers are websites that we source to collect user data, which allows Audience2Media to serve relevant ads to online users.</t>
  </si>
  <si>
    <t>https://www.audience2media.com/privacy</t>
  </si>
  <si>
    <t>https://audigent.com/</t>
  </si>
  <si>
    <t xml:space="preserve">The Platform ingests information, including personal information, provided by clients, data providers, partners, and other third-party sources to allow clients to use such data to target ads and/or to leverage other Data Functions. </t>
  </si>
  <si>
    <t>we may collect information about you and your device. While this information does not enable us to directly identify you or other users (we do not know your name or contact information), that information may be considered “personal data” or “personal information” under applicable privacy laws.</t>
  </si>
  <si>
    <t>Right to opt out of selling or sharing. At the time this Platform Privacy Policy was last updated, we (1) SELL personal information; and (2) we SHARE personal information for the purpose of cross-context behavioral advertising.</t>
  </si>
  <si>
    <t>To opt out of interest-based advertising on the Platform, go to Audigent’s Privacy Center.</t>
  </si>
  <si>
    <t>adgt</t>
  </si>
  <si>
    <t>https://audigent.com/platform-privacy-policy</t>
  </si>
  <si>
    <t>http://beachfront.com/</t>
  </si>
  <si>
    <t>"We utilize cookies to store user data that can aid in targeting of advertisements"</t>
  </si>
  <si>
    <t>We are not in the business of collecting, using, or selling consumer data; however we do offer technologies to advertisers and publishers that allows them to sell and purchase space or digital advertisements to try and ensure that the audience they desire sees their ads and that the advertising itself is delivered and the performance of the advertising can be analyzed. 
Since we share personal information collected through the Services for commercial purposes and this sharing enables BFM to generate valuable consideration, some of these categories of personal information could be deemed as “sold” in the past twelve months. </t>
  </si>
  <si>
    <t>https://www.beachfront.com/privacy-policy
https://www.beachfront.com/beachfront-media-llc-privacy-rights-notice</t>
  </si>
  <si>
    <t>https://bidmind.com</t>
  </si>
  <si>
    <t>We also use User’s Advertising/Device ID and the information associated with User’s device Advertising/Device ID over time ... to enhance our services and to select Bidmind Clients’ ads that are most likely to be of interest to User.</t>
  </si>
  <si>
    <t>Bidmind servers may receive and store an advertising identifier (“Advertising ID”) or device identifier (“Device ID”), either of them is a pseudonymous number that is associated with user of our Client</t>
  </si>
  <si>
    <t>In some cases, based on data we collect ourselves, or receive from our Clients or data partners (e.g. Audiences as defined below), we infer within a reasonable probability that another browser or device should be associated with the same Adverting/Device ID. ... We will share the information collected about you as described above for various business purposes, with service providers and with third parties, including our Clients. The table below describes how and with whom we share or disclose personal information, and whether we believe we have sold or shared a particular category of information in the prior 12 months.</t>
  </si>
  <si>
    <t>You can always opt-out of the serving of targeted advertising by Bidmind by clicking here.</t>
  </si>
  <si>
    <t>have a website to put in your information</t>
  </si>
  <si>
    <t>https://bidmind.com/privacy-policy/</t>
  </si>
  <si>
    <t>http://www.bidvertiser.com/</t>
  </si>
  <si>
    <t>"To enable advertisements delivery, including behavioral advertising"</t>
  </si>
  <si>
    <t>"These cookies may also be used to enable third-party advertising networks to deliver ads that may be relevant to you based upon your activities or interests."</t>
  </si>
  <si>
    <t>Get exactly the traffic you want - when you want. Geo, device, OS, browser, ISP, carrier, subid, time-of-day, channel, contextual and more.</t>
  </si>
  <si>
    <t>https://www.bidvertiser.com/
https://www.bidvertiser.com/privacy/</t>
  </si>
  <si>
    <t>https://blockthrough.com/</t>
  </si>
  <si>
    <t>"Other cookies also enable us to track and target the interests of our users to enhance the experience on our Websites."</t>
  </si>
  <si>
    <t>"During your visit to Blockthrough.com, we collect certain information automatically from your device"</t>
  </si>
  <si>
    <t>When processing Personal Information on behalf of our customers, Blockthrough is acting as the “data processor” and the customer is the “data controller”.</t>
  </si>
  <si>
    <t>https://blockthrough.com/privacy-policy/</t>
  </si>
  <si>
    <t>http://www.blogher.com/</t>
  </si>
  <si>
    <t>Demographic, statistical and interest information such as interests, lifestyle information, hobbies, health and wellness information, your age, date of birth, gender, income and other personal finance information, sexual orientation, and race or ethnicity* (to the extent permitted by and in accordance with applicable law.</t>
  </si>
  <si>
    <t>California, Colorado, Connecticut, and Virginia residents may opt out of the “sale” of their personal information or processing or sharing of your information for online targeted advertising purposes. We sell or share certain of your information to third parties that may directly provide you with offers and promotions and opportunities that may be of interest to you.</t>
  </si>
  <si>
    <t>You may have the ability to accept or decline (or opt out of) certain cookies for analytics &amp; targeted advertising on our Services depending on your jurisdiction.</t>
  </si>
  <si>
    <t>https://www.pmc.com/privacy-policy</t>
  </si>
  <si>
    <t>https://carts.guru/</t>
  </si>
  <si>
    <t>Send Visitors information for marketing purposes (where it is in accordance with Visitors’ communication preferences);</t>
  </si>
  <si>
    <t xml:space="preserve">We may ask Visitors to provide specific information set out in an online inquiry form (for example, name, contact details, company name, country, monthly visitors volume, billing information, profile information etc). </t>
  </si>
  <si>
    <t>We may also share personal information collected through the Services with third party companies so that they may offer products and services that We believe will be of interest to You. We may also share personal information with third party advertising-serving companies to better target the adverts and other content displayed on Our site and to provide offers We think may be of interest to You. You may opt-out of disclosure of Your information to third parties for direct marketing purposes – see the Choice and Opt-Out section below. ... 
California law provides that California residents have a right to request that businesses tell them how their personally identifiable information has been shared with third parties for those third parties’ direct marketing purposes. However, there is an exception to this requirement for businesses that have adopted and disclosed, in their privacy policy, a policy of not disclosing a person’s personally identifiable information to third parties for those third parties’ direct marketing purposes if that person has exercised an option to opt-out of the disclosure of their personally identifiable information to third parties for such purposes. Carts Guru has adopted a policy of allowing You to opt-out of the disclosure of Your personally identifiable information to third parties for their direct marketing purposes and thus falls within this exception. Instructions for opting out can be found in the section entitled found in the Choice and Opt-Out section above.</t>
  </si>
  <si>
    <t>You may opt-out of disclosure of Your information to third parties for direct marketing purposes</t>
  </si>
  <si>
    <t>However, if You want to contact Us directly about accessing, changing or deleting Your personal information, or altering Your data or marketing preferences, please email Us at privacy@carts.guru.</t>
  </si>
  <si>
    <t>https://www.carts.guru/privacy-policy/services-privacy-policy</t>
  </si>
  <si>
    <t>https://www.clixtell.com/</t>
  </si>
  <si>
    <t>Improve and develop the services and content offered (including by matching them to the user on the basis of his identity);</t>
  </si>
  <si>
    <t>Some of this data can be considered as Personal Data such as your name, IP address, email etc. All Personal Data will be stored securely and only used when necessary such as to log into your account or provide customer support</t>
  </si>
  <si>
    <t>Clixtell’s call tracking software reveals which keywords, campaigns, and ads drive into calls and conversions. Measure all phone calls from all your marketing channels, online &amp; offline. Watch and record your customer’s full journey from search to click and call.</t>
  </si>
  <si>
    <t>https://www.clixtell.com/
https://www.clixtell.com/privacy-policy/</t>
  </si>
  <si>
    <t>https://www.crimtan.com/</t>
  </si>
  <si>
    <t>We will only use ID-related Data in ways that the law allows us to. Most commonly, we will use ID-related Data in the following circumstances:
To provide Relevant Advertising that you have consented to receive</t>
  </si>
  <si>
    <t>We also collect, use and share Aggregated Data such as statistical or demographic data for any purpose. Aggregated Data may be derived from ID-related Data but is not associated with an ID, and thus is not treated as personal data in law.</t>
  </si>
  <si>
    <t>Once you consent to Relevant Advertising, when you visit the sites of our advertiser clients or sites where we serve online advertising, we associate what we learn about your visit with the ID. Here is how this works:</t>
  </si>
  <si>
    <t>You may withdraw this consent at any time by using the button below, through a Consent Management Platform, by completing the Data Subject Request Form or by emailing dpo@crimtan.com</t>
  </si>
  <si>
    <t>must go through contact to get permission to opt out</t>
  </si>
  <si>
    <t>https://www.crimtan.com/privacy-policy/</t>
  </si>
  <si>
    <t>http://www.datranmedia.com/</t>
  </si>
  <si>
    <t xml:space="preserve">PulsePoint operates advertising technology, and as such, has many partners in the ad tech ecosystem that it works with in order to provide advertisements to end users of websites, Apps, and other various advertising platforms and media. </t>
  </si>
  <si>
    <t>Personally identifiable information (“PII”) is information unique to you that may be used to directly identify you individually. We may acquire PII from our publishers, advertising partners, or other third parties, but only where we have contractually required that these third parties have obtained your consent or are otherwise legally permitted or required to disclose your PII to us</t>
  </si>
  <si>
    <t>The CCPA defines “sale” broadly, and it may include our sharing information that we have about you, such as a cookie ID or IP address, with third party advertising partners who may use this information, on our behalf, to help us deliver advertising on the WebMD Sites as well as on third party websites.  You have the right to opt- out of the sale or share of your personal information subject to certain exclusions as described below. Once we receive your request, we will not sell or share your personal information, unless an exclusion applies. We may request that you authorize the sale or sharing of your personal information after 12 months following your opt-out.</t>
  </si>
  <si>
    <t>You have various options to opt out of our Platform for IBA/OBA. Opting out does not prevent you from seeing ads; it simply means that we will no longer collect data for the purpose of IBA/OBA</t>
  </si>
  <si>
    <t>Cookie name not identified</t>
  </si>
  <si>
    <t xml:space="preserve">The DAA and NAI opt-out tools are cookie-based. It signals your preferences to us so that we do not collect data online or deliver ads for the purpose of IBA/OBA. </t>
  </si>
  <si>
    <t>https://www.pulsepoint.com/legal/platform-privacy-policy#info_we_share</t>
  </si>
  <si>
    <t>http://datonics.com/</t>
  </si>
  <si>
    <t>"Based on this data, we may then display targeted advertisements across devices that we believe are associated"</t>
  </si>
  <si>
    <t>"We may use your information to match it with other public and private data sources in order to enhance our records, such as appending additional information to your profile, "</t>
  </si>
  <si>
    <t xml:space="preserve">We share the information we collect with our advertising partners so they may deliver relevant online advertisements to users. 
Personal Information Sales Opt-Out and Opt-In Rights. You have the right to direct us to not sell your personal information at any time (the "right to opt-out"). To exercise your right to opt-out, click here. </t>
  </si>
  <si>
    <t>https://www.datonics.com/technology-privacy-policy</t>
  </si>
  <si>
    <t>http://delivr.com/</t>
  </si>
  <si>
    <t>"The legal basis for this use and other processing will include (as relevant):
to provide you with relevant marketing communications;"</t>
  </si>
  <si>
    <t>In this context, if you are subject to CCPA, you are a Business and Delivr is your Service Provider. Your sharing of Personal Information related to your end users with Delivr, and Delivr’s collection of Personal Information related to your end users, are done to facilitate Delivr’s performance of its services that you contracted for. ... Delivr does not receive from you, and you do not pay Delivr, any monetary or other valuable consideration for making Personal Information available to Delivr.</t>
  </si>
  <si>
    <t>https://delivr.com/page/710/california-consumer-privacy-act-ccpa-notice
https://delivr.com/page/511/privacy-notice</t>
  </si>
  <si>
    <t>http://www.directresponsegroup.com/</t>
  </si>
  <si>
    <t>We use Personally Identifiable Information to customize the Site, to make appropriate service offerings</t>
  </si>
  <si>
    <t>We may collect basic user profile information from all of our Visitors. We collect the following additional information from our Authorized Customers: the names, addresses, phone numbers and email addresses of Authorized Customers, the nature and size of the business, and the nature and size of the advertising inventory that the Authorized Customer intends to purchase or sell.</t>
  </si>
  <si>
    <t>Personally Identifiable Information about Authorized Customers may be shared with other Authorized Customers who wish to evaluate potential transactions with other Authorized Customers. We may share aggregated information about our Visitors, including the demographics of our Visitors and Authorized Customers, with our affiliated agencies and third party vendors. We also offer the opportunity to "opt out" of receiving information or being contacted by us or by any agency acting on our behalf.</t>
  </si>
  <si>
    <t>Visitors and Authorized Customers may opt out of receiving unsolicited information from or being contacted by us and/or our vendors and affiliated agencies by responding to emails as instructed, or by contacting us at 201 Old Country Road, Suite 204, Melville, NY 11747</t>
  </si>
  <si>
    <t>https://www.directresponsegroup.com/privacy-policy/</t>
  </si>
  <si>
    <t>http://doublepimp.com/</t>
  </si>
  <si>
    <t>"Ad targeting: Cookies may be used to display relevant advertisements to visitors."</t>
  </si>
  <si>
    <t>Partner ad networks: we may share a portion of your personal data (i.e. IP address and User Agent) with other third-party ad networks or business partners who are interested in serving End-Users advertisements from their own advertisers. ... Under CCPA’s broad definition, “personal information” may also include (in addition to names, addresses, and the like) unique identifiers, IP addresses, and even inferences which may be drawn from any of the above. CCPA also defines the term “sell” broadly. Its meaning includes “renting, releasing, disclosing, disseminating, making available, [and] transferring…for monetary or other valuable consideration.” Under these broad definitions, certain transfers of information (such as IP addresses, User Agents, and combinations of these) which are necessary to operate our network could arguably be deemed a “sale” of “personal information” under CCPA. You have the right to opt out of this “sale.” For more information on how to opt out, click here.</t>
  </si>
  <si>
    <t>You have the right to opt-out from targeted advertising. In such case, Advertisers will not be able to customize their ads based on certain behaviors or audience type and your data will not be shared with third-party ad networks. If you would like to do so, you can send us an email to dpo@twinred.com and our Support Team will redirect you to a privacy center page where you can confirm your choice.</t>
  </si>
  <si>
    <t>https://doublepimp.com/privacypolicy#h_2350869264351608142954940</t>
  </si>
  <si>
    <t>https://www.drift.com/</t>
  </si>
  <si>
    <t>Analytics</t>
  </si>
  <si>
    <t>"we collect certain information automatically, including the type of mobile device you use, your mobile device’s unique device ID, the IP address of your mobile device, your mobile operating system, the type of mobile Internet browser you use, and your general location information as described further below."</t>
  </si>
  <si>
    <t>In the past twelve (12) months, Drift has collected from individuals, and may have shared or sold (as defined in the CCPA), certain categories of Personal Information (as defined in the CCPA) as follows:</t>
  </si>
  <si>
    <r>
      <rPr>
        <rFont val="Times New Roman"/>
        <sz val="11.0"/>
      </rPr>
      <t xml:space="preserve">"Do Not Sell My Personal Information: </t>
    </r>
    <r>
      <rPr>
        <rFont val="Times New Roman"/>
        <color rgb="FF1155CC"/>
        <sz val="11.0"/>
        <u/>
      </rPr>
      <t>https://preferences.drift.com/dont_sell</t>
    </r>
    <r>
      <rPr>
        <rFont val="Times New Roman"/>
        <sz val="11.0"/>
      </rPr>
      <t>"</t>
    </r>
  </si>
  <si>
    <t>unclear</t>
  </si>
  <si>
    <t>https://www.drift.com/privacy-policy/</t>
  </si>
  <si>
    <t>http://www.ebay.com/</t>
  </si>
  <si>
    <t>EmailAgg</t>
  </si>
  <si>
    <t>On this basis, we process your data for the following purposes:
Customization of page content to display the items and services you may like based on the actions you take.</t>
  </si>
  <si>
    <t>Data about your activities and interactions with our advertising partners including data about the advertisements you were shown, how often they were shown, when and where they were shown, and whether you took any action, such as clicking on an advertisement or making a purchase.
The user segment or category into which you as a user fall, for example: female, 20-49 years old, interested in sneakers.</t>
  </si>
  <si>
    <t>We share and sell personal information under California Privacy Laws. The following Table 3.1 lists the categories of personal information that are “shared” or “sold”, and the categories of recipients who receive this information.</t>
  </si>
  <si>
    <t>AdChoices Page</t>
  </si>
  <si>
    <t>Switch</t>
  </si>
  <si>
    <t>https://www.ebayinc.com/company/privacy-center/privacy-notice/state-privacy-disclosures/#california</t>
  </si>
  <si>
    <t>http://www.etrigue.com/</t>
  </si>
  <si>
    <t>has GDPR</t>
  </si>
  <si>
    <t>Before we collect any personally identifiable information, we will provide an explanation for the possible use of the data. The information supplied will be used by eTrigue Corporation to respond to inquiries, supply requested information on eTrigue Corporation products and services, or track orders placed with eTrigue Corporation.</t>
  </si>
  <si>
    <t>Authorized third parties may be utilized by eTrigue Corporation to collect, track and process such information.</t>
  </si>
  <si>
    <t>link in emails, not available on page</t>
  </si>
  <si>
    <t>https://www.etrigue.com/trust/privacy-policy/</t>
  </si>
  <si>
    <t>http://expo-max.com/</t>
  </si>
  <si>
    <t>"Deliver customized content and advertising that may be of interest to you;"</t>
  </si>
  <si>
    <t>"We collect information in the following ways:
Automatically when you visit our web sites or use our products and services."</t>
  </si>
  <si>
    <t>We collect information in the following ways: ... Via advertisement serving and tracking codes that you install on your website; Automatically when you visit our web sites or use our products and services. We use "cookies" (small files placed on your hard drive) on most of our pages to help analyze our web page flow, content and advertising, promotional effectiveness, as well as security. ... We use the information we collect in a variety of ways, including to: ... Deliver customized content and advertising that may be of interest to you; ...</t>
  </si>
  <si>
    <t>http://expo-max.com/privacy/</t>
  </si>
  <si>
    <t>https://www.nexstardigital.com/</t>
  </si>
  <si>
    <t>" We may use Personal Information collected directly during the registration process and/or via cookies, web beacons, and other similar technologies to help us evaluate and modify existing services and features, as well as provide certain information to third parties to provide advertising that is targeted to you."</t>
  </si>
  <si>
    <t>"We may also automatically collect information that does not directly identify you but may be considered your personal data under applicable law (“Other Information”)."</t>
  </si>
  <si>
    <t xml:space="preserve">We do not sell your Identifiable Information without your consent. However, we do share certain Personal Information with some of our partners which may be considered a “sale” under the California Consumer Privacy Act (“CCPA”) and other similar privacy laws (collectively, “Privacy Laws”), therefore, when required by applicable Privacy Laws, we give residents the right to opt out of the sale of your Personal Information (“Opt-Out Right”). </t>
  </si>
  <si>
    <t>https://www.nexstar.tv/privacy-policy/</t>
  </si>
  <si>
    <t>http://www.flashtalking.com/</t>
  </si>
  <si>
    <t xml:space="preserve">This helps indicate if an ad is effective for the advertiser, and helps the advertiser tailor messages, offers, recommendations, and promoted content to your preferences over time. </t>
  </si>
  <si>
    <t>we automatically collect certain information when you access websites that incorporate our Services or otherwise interact with our Services. This information does not identify you individually, but it does reflect information about the websites and mobile apps you visit and use and how you interact with the ads we serve.</t>
  </si>
  <si>
    <t>Flashtalking’s platform uses various technologies to collect information, including cookies, web beacons, web storage, advertising device identifiers, and similar technologies. Cookies are small data files stored on your hard drive or in device memory that help to recognize that the same device has been seen before, and where, in the context of a client’s ad campaign.  This helps indicate if an ad is effective for the advertiser, and helps the advertiser tailor messages, offers, recommendations, and promoted content to your preferences over time. ... We may disclose the information we collect as follows or as otherwise described in this Privacy Policy: With our advertising and publishing clients, with respect to the performance of their online ads; ...  Your choices Opting out of interest-based advertising and collection of personal information Please visit our Opt Out Page. ... California consumer disclosure and rights (CCPA/CPRA) ... Categories of Personal Information we sell We do not sell personal information. Categories of Third Parties to whom Personal Information is sold We do not sell personal information. Categories of third parties to whom information was shared for a business purpose We do not share personal information with third parties except as directed by a client on their behalf.</t>
  </si>
  <si>
    <t>Link to opt out page</t>
  </si>
  <si>
    <t>ftcOpt</t>
  </si>
  <si>
    <t>it doesn't work in the console</t>
  </si>
  <si>
    <t>https://www.flashtalking.com/privacypolicy</t>
  </si>
  <si>
    <t>http://www.freedom.com/</t>
  </si>
  <si>
    <t>We may use the information that we collect from you to:
...
Send you information about products or services that we think may be of interest to you;</t>
  </si>
  <si>
    <t>We may also collect personal information about you from the following categories of sources: advertising networks, internet service providers, data analytics providers, government entities, operating systems and platforms, social networks, and data brokers.</t>
  </si>
  <si>
    <t>Third party advertisers, including Google, may also use cookies to collect non-personally identifiable information from your browser, such as pages you visited, tools you have interacted with, the channel or method in which you arrived on our Site, etc., so that they can tailor the ads you see to your preferences and behaviors. Third party cookies may also track the number of ad impressions, other uses of ad services, and interactions with these ads.</t>
  </si>
  <si>
    <t>To learn more about this online advertising or to opt-out of this type of advertising, please click on the following links:</t>
  </si>
  <si>
    <t>https://www.freedommortgage.com/disclosures/privacy-policy</t>
  </si>
  <si>
    <t>https://www.geoedge.com/</t>
  </si>
  <si>
    <t>"We use cookies and similar technologies to help personalize your experience by helping save your settings and customizations across visits and providing you targeted content and advertisements matching your interests"</t>
  </si>
  <si>
    <t>"When you use the App and/or Site, certain information may be automatically gathered about your computer or mobile device, such as operating system, IP address, device ID, and subject to your consent as may be required under applicable law, (geo) location, as well as your browsing history and any information regarding your viewing and purchase history on our App and/or Platform."</t>
  </si>
  <si>
    <t>We may disclose information, including Personal Data we collect from and/or about you, to our trusted service providers, business partners, affiliates, subcontractors, who may use such information to ... (3) subject to your consent as may be required under applicable law, provide to you targeted offers and advertising on both our App and/or Site, as well as on other apps, platform and sites you choose to visit.</t>
  </si>
  <si>
    <t>https://www.geoedge.com/privacy-policy/</t>
  </si>
  <si>
    <t>http://getintent.com/</t>
  </si>
  <si>
    <t>Each bid request contains the description of the interests of the audience that is likely to see the advertisement. The Platform compares the description of the audience under the bid request with the parameters of the Client’s advertising campaign.</t>
  </si>
  <si>
    <t>When our Clients use the Platform, they may also use their data received from other sources (not from GetIntent) and other data that identifies the Client that is collected as a result of or generated by the Client’s use of the Platform (Client Data).</t>
  </si>
  <si>
    <t>When the Sites send to the Platform bid requests (as explained in section What we do above), these bid requests may include some information about you including IP address, unique device identifiers, and the latitude and longitude of your device when you view a Site or use an App. ... We use the data processed by the Platform for the purposes of providing the Services to the Clients, in particular to analyse and report on advertising performance: the data processed is attributed to each certain advertising campaign of the Client, so the Client can monitor the performance of its advertising campaign; to improve online advertising experience and efficiency: our Platform helps the Clients to decide which advertisement to show or whether to show it and to display the Client’s particular products in response to users’ interest; to limit advertising exposure for consumers and facilitate more relevant advertising: for this purpose, we use Cross-Device IDs;</t>
  </si>
  <si>
    <t>To opt-out or opt-in please visit the following pages: adhigh.net, digitmate.bid, cpagen.win.</t>
  </si>
  <si>
    <t xml:space="preserve">‘Opt-out Cookie’ </t>
  </si>
  <si>
    <t>The Cookie previously set your browser is deleted and replaced with the Platform ‘Opt-out Cookie’ indicating your ‘opt-out’ only.</t>
  </si>
  <si>
    <t>https://getintent.com/privacy/</t>
  </si>
  <si>
    <t>https://gleam.io/</t>
  </si>
  <si>
    <t>Gleam may collect and use User's personal information for the following purposes:
To improve Gleam to ensure that content is presented in the most effective manner for you and for your Device;</t>
  </si>
  <si>
    <t>Gleam also does not collect retain or share end user information including IP addresses, unique user identifiers, or personally identifiable information gathered on sites or apps not owned by Gleam, except for the limited purpose of determining conversion rates &amp; detecting fraud</t>
  </si>
  <si>
    <t>Gleam offers a number of integrations with 3rd party service providers that enable Campaign Owners to send Campaign Users data from Gleam for processing: ... Sailthru ...</t>
  </si>
  <si>
    <t>https://gleam.io/privacy</t>
  </si>
  <si>
    <t>https://www.indexexchange.com/</t>
  </si>
  <si>
    <t>device advertising IDs: unique identifiers used for advertising purposes on various devices, including mobile devices</t>
  </si>
  <si>
    <t>The information we receive is predominantly determined by each Publisher that you interact with. We are not able to determine your name, email address, or other similarly identifying information based on the Personal Data we Process</t>
  </si>
  <si>
    <t xml:space="preserve">We may disclose, share, or sell (collectively, Share) your Personal Data with the following partners for the purpose of delivering ads to you: Buyers: we Share your Personal Data with Buyers to source ads that may be relevant to your interest(s). </t>
  </si>
  <si>
    <t>Opt Out link</t>
  </si>
  <si>
    <t>Proof by existence of opt out</t>
  </si>
  <si>
    <t>https://optout.networkadvertising.org/?c=1</t>
  </si>
  <si>
    <t>https://www.indexexchange.com/privacy/exchange-platform-privacy-policy/</t>
  </si>
  <si>
    <t>https://www.infinity.co</t>
  </si>
  <si>
    <t>Infinity is an analytics provider whose software allows website owners to understand the usability of their websites and the effectiveness of their marketing (the “Services”). ... 4. Disclosure of your personal data ... We may share your personal data with: our suppliers and service providers who we use in connection with and for the purposes of providing the Services, including for example providers of cloud storage, data centres and telecommunication providers. ... In order to satisfy the California Consumer Privacy Act (“CCPA”) and other relevant legislation, we are required to provide specific information for residents of California. You should also refer to the rest of this policy, which provides the requisite detail concerning: ... where we disclose this information to third parties (see Disclosure of your information). In the preceding twelve months, we have not sold any personal information belonging to consumers. ... Cookies are small data files placed on your computer by the websites you visit and can be used to help recognise you when you return to a website. We, or third party service providers, may use cookies to, among other things, measure activity, personalise your experience, remember your viewing preferences, or track your login status when accessing our site. For some of these purposes, our cookies may be tied to personal data.</t>
  </si>
  <si>
    <t>Not needed</t>
  </si>
  <si>
    <t>Is a call analysis site, does not deal greatly with advertising</t>
  </si>
  <si>
    <t>https://www.infinity.co/us/privacy-policy</t>
  </si>
  <si>
    <t>http://www.infolinks.com/</t>
  </si>
  <si>
    <t>FingerprintGen</t>
  </si>
  <si>
    <t>"Serving Ads: To allow Publisher Clients to offer advertising inventory in their Digital Properties and Media Buyers to bid on and fill that inventory with relevant ads."</t>
  </si>
  <si>
    <t>"We use cookies and other similar tracking technologies (such as pixel tags and web or browser caches) to collect information automatically from End Users’ devices."</t>
  </si>
  <si>
    <t xml:space="preserve">When End Users visit a Digital Property that uses our technology, we (and our partners or vendors) use and deploy tracking technologies like cookies to automatically collect certain information about the End Users and their devices.  Some of this information (including, for example, unique identifiers stored in a cookie or mobile advertising IDs) may identify a computer or device and may be “personal data” in some jurisdictions, including the EU. </t>
  </si>
  <si>
    <t>https://www.infolinks.com/privacy-policy/</t>
  </si>
  <si>
    <t>http://www.interpolls.com/</t>
  </si>
  <si>
    <t>Interpolls provides Advertisers, Agencies, Publishers and its Agents the tools and services to create and deliver advertisements (also referred to as ad-serving) that you may encounter on certain web sites, monitor the performance of those advertisements, manage ad creatives for campaigns, and deliver advertisements that most likely will be relevant and interest you.</t>
  </si>
  <si>
    <t>When Users interact with ads generated using the Interpolls Services, we may collect information on behalf of Interpolls’ Clients. Interpolls provides promotion tools and services for clients to create, manage and deliver sweepstakes or contests to users for a chance to win or earn prizes.</t>
  </si>
  <si>
    <t>Interpolls provides Advertisers, Agencies, Publishers and its Agents the tools and services to create and deliver advertisements (also referred to as ad-serving) that you may encounter on certain web sites, monitor the performance of those advertisements, manage ad creatives for campaigns, and deliver advertisements that most likely will be relevant and interest you. ... Interpolls is a service provider as defined by CCPA. ...  Interpolls has never sold any personal information of consumers.</t>
  </si>
  <si>
    <t>Link</t>
  </si>
  <si>
    <t>optout</t>
  </si>
  <si>
    <t>https://www.interpolls.com/privacy</t>
  </si>
  <si>
    <t>http://www.iprom.si/</t>
  </si>
  <si>
    <t>The contractual processors working with the Provider are:
• E-mail messaging providers (e.g. Mailchimp and others)
• Providers of online advertising solutions (e.g. Google, Facebook)</t>
  </si>
  <si>
    <t>In accordance with the purposes defined in this Privacy Policy, the Provider collects the
following personal data:
• Basic user information (name and surname, address)</t>
  </si>
  <si>
    <t>In addition, cookies can be used to serve more appropriate ads and to measure ad effectiveness. The use of cookies can help us to store information for advertising purposes, including targeted, retargeting, tailored advertising, delivery of ads and clicks and conversions based on the shown ads.</t>
  </si>
  <si>
    <t>You can opt out from collecting and using non-personal data with managing cookies in your browser or on your device.</t>
  </si>
  <si>
    <t>Seems to say any cookie should be blocked, but no specific cookie is mentioned</t>
  </si>
  <si>
    <t>https://iprom.eu/files/2022/05/iPROM-Privacy_Policy_GDPR.pdf</t>
  </si>
  <si>
    <t>https://www.ispot.tv/</t>
  </si>
  <si>
    <t>We collect the categories of personal information described above for the following business or commercial purposes:
providing our products and services
personalizing customer experience</t>
  </si>
  <si>
    <t>See the chart below for the categories of personal information we have collected over the preceding 12 months, the retention period for each category, and the categories of sources of the information.</t>
  </si>
  <si>
    <t>Categories of Third Parties to Whom Information is Sold or Shared - By Category: ... advertising networks, internet service providers ... Company name sells or shares personal information to third parties. You have the right at any time to direct us not to sell or share your personal information to third parties (this right is referred to as the "Right to Opt‐out."). In addition to using the "Do Not Sell My Personal Information," link on our website or here in our privacy policy link to "Do Not Sell" form, you may submit a request to exercise your Right to Opt-out as follows: ...</t>
  </si>
  <si>
    <t>must manually contact</t>
  </si>
  <si>
    <t>https://www.jellyfish.com/</t>
  </si>
  <si>
    <t>We use this information where we have a legitimate business interest to do, for example:
to get in touch with you following a request you made using a form on this website;
to provide our products and services;
to send you marketing emails about our services, events, or other information which we think you may find interesting.</t>
  </si>
  <si>
    <t>Information we collect about your use of the website:
Technical information (including your IP address and information related to your browser and/or device)</t>
  </si>
  <si>
    <t>As discussed above, we provide personal information to third-party advertising providers for targeted advertising purposes, so that we can provide you with more relevant and tailored ads regarding our services, or use related advertising analytics partners to understand the effectiveness of our online ads. The disclosure of your personal information to these third parties to assist us in providing these services may be considered a “sale” of personal information or the processing/sharing of personal information for targeted advertising purposes under applicable law.</t>
  </si>
  <si>
    <t>please use the "Do Not Sell or Share My Personal Information" link in our website footer, and follow the directions provided therein. You can also submit a request to opt out of our offline disclosures of information that are subject to applicable opt out rights by emailing us at dataprotection@jellyfish.com.</t>
  </si>
  <si>
    <r>
      <rPr>
        <rFont val="Times New Roman"/>
        <color rgb="FF1155CC"/>
        <sz val="11.0"/>
        <u/>
      </rPr>
      <t>https://www.jellyfish.com/en-us/privacy-policy/</t>
    </r>
    <r>
      <rPr>
        <rFont val="Times New Roman"/>
        <sz val="11.0"/>
      </rPr>
      <t xml:space="preserve"> 
</t>
    </r>
    <r>
      <rPr>
        <rFont val="Times New Roman"/>
        <color rgb="FF1155CC"/>
        <sz val="11.0"/>
        <u/>
      </rPr>
      <t>https://info.jellyfish.com/en-us/ccpa-us</t>
    </r>
  </si>
  <si>
    <t>https://keywee.co</t>
  </si>
  <si>
    <t>"We may use cookies to help us understand how our services are being used, to tailor how we distribute content, and to report on delivery on the content."</t>
  </si>
  <si>
    <t>"When you interact with the Site, we may collect information that, alone or in combination with other information, could be used to identify you (“Personal Data”)"</t>
  </si>
  <si>
    <t xml:space="preserve">The following section of this Privacy Policy only applies to California residents. The California Consumer Privacy Act (the “CCPA”) grants users of our Site that are California residents certain rights in regards to our collection of personal information. These rights include: ... The right to opt-out of the sale of their personal information. ... Through our Site, you can choose to access certain social media websites and services that are owned and/or controlled by third parties, such as Facebook, Twitter, Instagram, Pinterest and YouTube (“Social Media Services”). When you choose to access and use Social Media Services, including interacting with our pages on those sites, you will be sharing your Personal Data and other information with them. </t>
  </si>
  <si>
    <t>"In the event that Keywee begins selling personal information, this Privacy Policy will be updated to reflect that sale and you will be notified of such update. Additionally, you will be provided the ability to opt-out of the sale of your personal information collected by Keywee by clicking a DO NOT SELL MY PERSONAL INFORMATION link."</t>
  </si>
  <si>
    <t>https://keywee.co/privacy-policy/</t>
  </si>
  <si>
    <t>http://www.madisonlogic.com/</t>
  </si>
  <si>
    <t>"for example through notifications about special offers and promotions or other relevant content delivered through targeted advertising."</t>
  </si>
  <si>
    <t>"Madison Logic may use a variety of technologies, including “cookies” that automatically or passively collect information from your computer"</t>
  </si>
  <si>
    <t xml:space="preserve">You have the right to direct us not to sell your personal information or share it for the purposes of cross-context behavioral advertising (“opt-out’). </t>
  </si>
  <si>
    <t>https://www.madisonlogic.com/privacy/</t>
  </si>
  <si>
    <t>https://www.mashero.com/</t>
  </si>
  <si>
    <t>N/A</t>
  </si>
  <si>
    <t>No privacy policy</t>
  </si>
  <si>
    <t>https://www.merkleinc.com/</t>
  </si>
  <si>
    <t>"You have the right to request that we not include your data for any targeted advertising we conduct."</t>
  </si>
  <si>
    <t>"You have the right to request that we not process your information for profiling."</t>
  </si>
  <si>
    <t>You can request that we not sell or share your personal data that we have in our products by clicking Do Not Sell/Share My Info.</t>
  </si>
  <si>
    <t>opt_out: OPT_OUT</t>
  </si>
  <si>
    <t>https://www.merkle.com/content/merkle/en/privacy-policy/united-states.html</t>
  </si>
  <si>
    <t>https://www.minutemedia.com/</t>
  </si>
  <si>
    <t>Marketing and Advertising; We may use Tracking Technologies (which may collect Personal Data) in order to provide you with personalized advertisements when you visit our Services.</t>
  </si>
  <si>
    <t>The type of information collected may be influenced by the nature of our Website conducting the Activity. Such information may include your full name, information regarding your marital/relationship status and number of children, gender, year of birth, your state and city of residency, employment status, your astrological sign, and any additional information you choose to provide in connection to such Activity.</t>
  </si>
  <si>
    <t>If we sell your Personal Data, you have the right to submit a request to opt-out of the sale of your Personal Data. You may change your decision at any time and permit us to sell your Personal Data. If you do not want us to sell your Personal Data to third parties, please click on the “Do Not Sell My Personal Information” link located on the homepages of our Brand Websites for residents located in California.</t>
  </si>
  <si>
    <t>You may choose not to receive our promotional or marketing emails by clicking on the “unsubscribe” link in the emails that you receive from us, or contact our DPO at dpo@minutemedia.com (kindly specify the name of the relevant product from which you wish to unsubscribe from)</t>
  </si>
  <si>
    <t>https://www.minutemedia.com/policies/privacy-policy</t>
  </si>
  <si>
    <t>http://www.mobfox.com/</t>
  </si>
  <si>
    <t>FingerprintingInv</t>
  </si>
  <si>
    <t>"Targeting Cookies: for providing advertising agencies with information about your visit so that they can show you relevant adverts online."</t>
  </si>
  <si>
    <t>"We use and deploy digital identifiers to automatically collect certain information. Some of this information may identify a particular computer or device and may be considered Personal Information."</t>
  </si>
  <si>
    <t>"Our use of such Personal Information may qualify as a “Sale” under the CCPA, since the data we provide to third parties, including to our clients and partners might help us to generate valuable consideration. "</t>
  </si>
  <si>
    <t>"If you wish to opt out of the use of your Personal Information for interest-based advertising purposes, you may do so by contacting us at: PrivacyCompliance@mobfox.com"</t>
  </si>
  <si>
    <r>
      <rPr>
        <rFont val="Times New Roman"/>
        <color rgb="FF1155CC"/>
        <sz val="11.0"/>
        <u/>
      </rPr>
      <t>https://www.mobfox.com/mobfox-legal</t>
    </r>
    <r>
      <rPr>
        <rFont val="Times New Roman"/>
        <sz val="11.0"/>
      </rPr>
      <t xml:space="preserve">
</t>
    </r>
    <r>
      <rPr>
        <rFont val="Times New Roman"/>
        <color rgb="FF1155CC"/>
        <sz val="11.0"/>
        <u/>
      </rPr>
      <t>https://www.mobfox.com/cookies-policy</t>
    </r>
  </si>
  <si>
    <t>http://mobilestorm.com/</t>
  </si>
  <si>
    <t>We use this information to meet legal or regulatory requirements, to measure the use of our sites; to improve the content of our sites, and to provide tailored advertisements.</t>
  </si>
  <si>
    <t>Categories of information. Mobilestorm processes three broad types of information: (1) Customer Account Data; (2) End User Usage Data; and (3) Customer Content. “Customer Account Data” is the personal information of a customer or potential customer of Mobilestorm. “End User Usage Data” is the personal information of end users who interact with an application that has been built on or which interacts with Mobilestorm’s platform</t>
  </si>
  <si>
    <t>In addition to the rights outlined above, where the California Consumer Privacy Act or related data protection laws apply, you may: ... Request certain information regarding, and/or opt-out of, our disclosure of your personal information to third parties. ... If you are a California resident, to the extent that we sell your personal information to third parties, you have the right to opt out of such sale.</t>
  </si>
  <si>
    <t>Have to email</t>
  </si>
  <si>
    <t>https://mobilestorm.com/privacy-policy/</t>
  </si>
  <si>
    <t>http://www.mythings.com/</t>
  </si>
  <si>
    <t xml:space="preserve">We use Facebook Pixels to register your visit on mythings.com so that we can advertise to you through Facebook’s network. Several sites use this cookie to allow Facebook to show you ads that are relevant to you and your past search history. </t>
  </si>
  <si>
    <t>Information about your usage of the website, in terms of browser settings, IP address, and which subpages that are visited. If contact forms of newsletter form are being used, your name, company and e-mail address is stored.</t>
  </si>
  <si>
    <t>Facebook Pixels: We use Facebook Pixels to register your visit on mythings.com so that we can advertise to you through Facebook’s network.</t>
  </si>
  <si>
    <t>Browsers are set to accept cookies. If you prefer not to, you can set your browser to reject cookies, or to reject third-party cookies.</t>
  </si>
  <si>
    <t>https://www.mythings.com/privacy-policy/</t>
  </si>
  <si>
    <t>https://www.createwithnova.com/</t>
  </si>
  <si>
    <t>We use the information we collect to:
...
Tailor services based on your habits and preferences.</t>
  </si>
  <si>
    <t>We and our partners use various technologies to collect and store information when you visit, and this may include using cookies, web storage, or similar technologies to identify your browser or device.</t>
  </si>
  <si>
    <t>Below are direct links to standards, laws, and/or regulations that are applicable to our privacy and data policies: ... (CCPA) California Consumer Privacy Act ... We may receive information about you and your activities from third-party partners, such as information from a partner when we jointly offer services or from an advertiser about your experiences or interactions with them. This information is only used in conjunction with our services for purposes that the third-party outlined with you when they collected it. ... We and our partners use various technologies to collect and store information when you visit, and this may include using cookies, web storage, or similar technologies to identify your browser or device.</t>
  </si>
  <si>
    <t>Says they will respect it if it's one of their advertisers but doesn't give a setting</t>
  </si>
  <si>
    <t>Must be specific to advertiser</t>
  </si>
  <si>
    <t>https://www.createwithnova.com/privacy</t>
  </si>
  <si>
    <t>https://onesignal.com</t>
  </si>
  <si>
    <t>To enable clients to create inferences about End Users categorized into “Data Segments”. For instance, if SDK Information indicates that a particular device is frequently seen at restaurants, we might categorize a user for targeting of local restaurant offers. Or, if a user is frequently seen at sports stadiums, we might categorize the user as a “Sports Fan.”</t>
  </si>
  <si>
    <t>Sometimes, the SDK Information may be used to resolve identities across multiple devices, such as to match IP addresses or hashed emails to link an End User across (for instance) browsers, mobile devices, tablets, set top boxes, or other devices.</t>
  </si>
  <si>
    <t>OneSignal is a customer engagement platform for companies around the world to enable relationships for them and their customers. This is primarily done by leveraging first party data to personalize and automate messaging through first party channels, such as email, SMS, mobile push notifications, web push notifications, and in-app messaging. OneSignal collects this first party data through a software development kit (“SDKs”) that companies use in their mobile applications and websites. These web and mobile SDKs permit app developers and websites to send, manage, optimize and customize messages to their users. ... OneSignal is the data controller for processing of certain Personal Data, such as the Personal Data of our client business contacts or the OneSignal Website Information. However, we act as a data processor (or service provider) in relation to the Services we provide to our Clients, such as when a Client deploys our technology in order to collect, process or transfer first party data ... You can opt out of having your mobile advertising identifiers used for certain types of interest-based (also called “cross-app”) mobile behavioral advertising, by accessing the “settings” on your Apple or Android mobile device, as follows:</t>
  </si>
  <si>
    <t>https://onesignal.com/privacy_policy</t>
  </si>
  <si>
    <t>https://optinmonster.com/</t>
  </si>
  <si>
    <t>"This information allows ad networks to, among other things, deliver targeted advertisements that they believe will be of most interest to you."</t>
  </si>
  <si>
    <t>Ads appearing on any of our websites may be delivered to users by advertising partners, who may set cookies. These cookies allow the ad server to recognize your computer each time they send you an online advertisement to compile information about you or others who use your computer. This information allows ad networks to, among other things, deliver targeted advertisements that they believe will be of most interest to you.</t>
  </si>
  <si>
    <t>https://optinmonster.com/privacy/</t>
  </si>
  <si>
    <t>http://www.owneriq.com/</t>
  </si>
  <si>
    <t>With our service, you should receive advertisements that are more relevant to you, based on current browsing and buying behavior, than the standard advertising you would receive otherwise.</t>
  </si>
  <si>
    <t>At ownerIQ, we collect data about the products and services that people own, use or have shown interest in, and use that data to help advertisers and publishers (websites and mobile apps that provide products, services, content and media) provide relevant advertising and content to those people</t>
  </si>
  <si>
    <t xml:space="preserve">At ownerIQ, we collect data about the products and services that people own, use or have shown interest in, and use that data to help advertisers and publishers (websites and mobile apps that provide products, services, content and media) provide relevant advertising and content to those people as they browse the internet or utilize an app on a mobile device. For example, if you visit and browse on Website/mobile application A, on a subsequent online visit to Website/mobile application B, you may see ads personalized by your browsing history on Website/mobile application A. This is called Interest Based Advertising. </t>
  </si>
  <si>
    <t>If you do not want to receive ads displayed by us based on your browsing and purchasing behavior, you can opt out as described below</t>
  </si>
  <si>
    <t>optout.owneriq.net</t>
  </si>
  <si>
    <t>https://www.owneriq.com/privacy-notice</t>
  </si>
  <si>
    <t>http://www.quantcast.com/</t>
  </si>
  <si>
    <t>"To provide the Solutions, Quantcast collects and uses Personal Information for various purposes, such as measuring and understanding audiences, targeting and delivering ads, measuring ad performance, and similar related purposes"</t>
  </si>
  <si>
    <t>"Identifiers, including IP addresses and other similar Pseudonymous Identifiers.  	Through automated means Third-party sources"</t>
  </si>
  <si>
    <t xml:space="preserve">As detailed in the chart above, we “sell” or “share” (as such terms are defined in the CCPA) certain categories of Personal Information to and with third parties and have “sold” or “shared” certain categories of Personal Information in the last twelve (12) months. </t>
  </si>
  <si>
    <t>"We offer cookie-based and cookieless opt-out methods that allow you to exercise the above-listed rights"</t>
  </si>
  <si>
    <t>Cookie named "qoo: OPT_OUT"</t>
  </si>
  <si>
    <t>Also another method, unclear what it is</t>
  </si>
  <si>
    <t>https://www.quantcast.com/privacy/
https://www.quantcast.com/privacy-choices/</t>
  </si>
  <si>
    <t>http://scribol.com/</t>
  </si>
  <si>
    <t>"We use third-party advertising companies to serve ads and collect information when users visit our site"</t>
  </si>
  <si>
    <t>"We will use the persistent cookies to enable the Site to recognize you when you visit."</t>
  </si>
  <si>
    <t>We use third-party advertising companies to serve ads and collect information when users visit our site. These companies may use information (not including your name, address, email address or telephone number) about your visits to this and other websites in order to provide advertisements on our site, other websites and other forms of media about goods and services of interest to you.</t>
  </si>
  <si>
    <t>https://scribol.com/p/privacy-policy/</t>
  </si>
  <si>
    <t>http://sharethrough.com/</t>
  </si>
  <si>
    <t>"Sharethrough may Process your Personal Data when you visit third-party websites, mobile applications and over-the-top (“OTT”) devices (such as SmartTVs or applications on your Smart TV)  (“Partner Sites”), that use our advertising platform (the “Advertising Platform”) to serve targeted advertisements to you based on your personal interests (“Advertisements”)."</t>
  </si>
  <si>
    <t>"Sharethrough does not use your Personal Data with any automated decision-making process, including profiling, which may produce a legal effect concerning you or similarly significantly affect you."</t>
  </si>
  <si>
    <t xml:space="preserve">We may share, or have shared, your Personal Information for behavioural advertising purposes over the prior twelve (12) months. This may be referred to as the “sale” of your Personal Information for monetary or other valuable consideration. Sharethrough does not actually “sell” your Personal Information as is commonly understood to require an exchange for money; we simply share it with our clients to provide our services. </t>
  </si>
  <si>
    <t>Possibly stx_opt_out=1, opt out available through the DAA</t>
  </si>
  <si>
    <t>https://privacy-center.sharethrough.com/en/do-not-sell-my-personal-information/</t>
  </si>
  <si>
    <t>https://privacy-center.sharethrough.com/en/do-not-sell-my-personal-information/
https://privacy-center.sharethrough.com/en/consumer-privacy-notice/#8</t>
  </si>
  <si>
    <t>https://smartyads.com/</t>
  </si>
  <si>
    <t>"Finally, our clients may use third-party data in combination with your user information to deliver targeted advertisement materials and/or inventory across multiple devices that may ultimately be processed by our technology without our knowledge thereof."</t>
  </si>
  <si>
    <t>"Therefore, we collect a variety of data using cookies and various other standards (typical for the industry) and unique (if our technology allows so) web technologies to collect information automatically from your device"</t>
  </si>
  <si>
    <t>We act on assumption that consumers prefer relevant ads, tailored in accordance with their interests. Therefore, we collect a variety of data using cookies and various other standards (typical for the industry) and unique (if our technology allows so) web technologies to collect information automatically from your device, including: Cookies. ... Tags and Pixels. Tags and Pixels are blocks of code that we and our clients may use to track your browsing on the Internet: from resources to any particular websites or applications to track your browsing behavior.</t>
  </si>
  <si>
    <t>Seen on do not sell link page</t>
  </si>
  <si>
    <r>
      <rPr>
        <rFont val="Times New Roman"/>
        <color rgb="FF1155CC"/>
        <sz val="11.0"/>
        <u/>
      </rPr>
      <t>https://smartyads.com/privacy-policy</t>
    </r>
    <r>
      <rPr>
        <rFont val="Times New Roman"/>
        <sz val="11.0"/>
      </rPr>
      <t xml:space="preserve">
</t>
    </r>
    <r>
      <rPr>
        <rFont val="Times New Roman"/>
        <color rgb="FF1155CC"/>
        <sz val="11.0"/>
        <u/>
      </rPr>
      <t>https://smartyads.com/ccpa-resource#ccpa-formwrap</t>
    </r>
  </si>
  <si>
    <t>https://www.prposting.com</t>
  </si>
  <si>
    <t>"We target (and measure the performance of) ads to Members, Visitors and others both on and off our Services directly or through a variety of  partners"</t>
  </si>
  <si>
    <t>"PRPosting Corporation will be the controller of your personal data provided to, or collected by or for, or processed in connection with, our Services."</t>
  </si>
  <si>
    <t xml:space="preserve">We collect data through cookies and similar technologies. As further described in our Cookie Policy , we use cookies and similar technologies (e.g., web beacons, pixels, ad tags and device identifiers) to recognize you and/or your device(s) on, off and across different Services and devices. We also allow some others to use cookies as described in our Cookie Policy. ... We serve you tailored ads both on and off our Services. </t>
  </si>
  <si>
    <t>Says there is one, doesn't offer a method</t>
  </si>
  <si>
    <t>https://prposting.com/privacy-policy.html</t>
  </si>
  <si>
    <t>http://www.specificmedia.com/</t>
  </si>
  <si>
    <t>we may engage and work with vendors to serve advertisements about us on other online services. Some of these ads may be tailored to your interest based on your browsing of our Online Service and elsewhere on the Internet, which may include use of precise location and/or Cross-device Data, sometimes referred to as “interest-based advertising”</t>
  </si>
  <si>
    <t xml:space="preserve">We may also automatically collect certain information about you when you access or use the Online Service (“Usage Information”). We treat Usage Information as Personal Data to the extent required by applicable law and where it is combined
with Personal Data by or on behalf of us. </t>
  </si>
  <si>
    <t>As more fully described in Section 2.C, Third-Party Services (defined below) may associate Tracking Technologies with our Online Services and in doing so may collect Personal Data about your online activities over time and across different Web sites when you use our Online Services or Third-Party Services. Without limiting the generality of the forgoing, we may engage and work with vendors to serve advertisements about us on other online services. Some of these ads may be tailored to your interest based on your browsing of our Online Service and elsewhere on the Internet, which may include use of precise location and/or Cross-device Data, sometimes referred to as “interest-based advertising” and “online behavioral advertising” (“Interest-based Advertising”), which may include sending you an ad on another online service after you have left our Online Service (i.e., “retargeting”).</t>
  </si>
  <si>
    <t>opt out links</t>
  </si>
  <si>
    <t>https://www.viantinc.com/privacy-center/</t>
  </si>
  <si>
    <t>http://www.strikead.com/</t>
  </si>
  <si>
    <t>Embedded content from other websites Articles on this site may include embedded content (e.g. videos, images, articles, etc.). Embedded content from other websites behaves in the exact same way as if the visitor has visited the other website. These websites may collect data about you, use cookies, embed additional third-party tracking, and monitor your interaction with that embedded content, including tracking your interaction with the embedded content if you have an account and are logged in to that website.</t>
  </si>
  <si>
    <t>https://www.strikead.com/privacy-policy/</t>
  </si>
  <si>
    <t>https://www.sunmedia.tv/en/</t>
  </si>
  <si>
    <t>"The purpose of processing the data we collect is to offer the best advertising campaigns to each user"</t>
  </si>
  <si>
    <t>"Whenever the final user visits any of our partner´s sites or any on line add, we assign such user a user unique identifier (a random and unique combination of characters)"</t>
  </si>
  <si>
    <t>The purpose of processing the data we collect is to offer the best advertising campaigns to each user, campaigns that are of their interest, in order to be able to be accurate, SUNMEDIA needs to collect certain information. However, SUNMEDIA will not proceed to sale data to any third party without the express authorization of the owners of the data.</t>
  </si>
  <si>
    <t>https://www.sunmedia.tv/en/cookies-users/</t>
  </si>
  <si>
    <t>http://teads.tv/</t>
  </si>
  <si>
    <t xml:space="preserve">Teads uses data it collects, including sensitive personal information, to show ads that are based on your browsing activity across non-affiliated websites and apps, combines data collected across its clients to help enhance its products and services, and discloses data to its business partners. </t>
  </si>
  <si>
    <t>Teads uses data it collects, including sensitive personal information, to show ads that are based on your browsing activity across non-affiliated websites and apps, combines data collected across its clients to help enhance its products and services, and discloses data to its business partners. Such uses and disclosures may be considered a “sale” or “share” under the CCPA or “targeted advertising” under the other state privacy laws. In the previous 12 months, we may have “sold” or “shared” your personal information to the recipients listed in the table above.</t>
  </si>
  <si>
    <t>Button on site</t>
  </si>
  <si>
    <t>viewer-data-deletion cookie</t>
  </si>
  <si>
    <t>https://privacy-policy.teads.com/privacy-policy/us-privacy-notice/</t>
  </si>
  <si>
    <t>http://trafmag.com/</t>
  </si>
  <si>
    <t>All this information helps us choose the advertisement from our partners, which will be most suitable for you. We choose the advertisements based on your prior activity on the web-pages of on-line stores and the non-personal data we have gathered</t>
  </si>
  <si>
    <t>Our technique presupposes the usage of non-personal data only. This data contains the history of the web-sites you have visited, advertising links you have followed, the goods you have viewed on the pages of on-line stores, the goods you have added to cart and so on</t>
  </si>
  <si>
    <t>All this information helps us choose the advertisement from our partners, which will be most suitable for you. We choose the advertisements based on your prior activity on the web-pages of on-line stores and the non-personal data we have gathered. This helps us to eliminate from the sites those advertising offers that are of little interest to you. Thus, the income of partner-sites is raised, as they can develop more dynamically and provide you with better service.</t>
  </si>
  <si>
    <t>If you do not wish to receive advertising chosen according to our technique, you can disable the option through the link. In this case, the TrafMag cookie will be installed to your browser. It will prompt our system not to gather your non-personal data.</t>
  </si>
  <si>
    <t>ga.js</t>
  </si>
  <si>
    <t>https://trafmag.com/index.php?page=policy</t>
  </si>
  <si>
    <t>https://twilio.com</t>
  </si>
  <si>
    <t>"share personal data for cross-context behavioral advertising"</t>
  </si>
  <si>
    <t>"Twilio collects personal data such as Customer Account Data directly from you — as a customer or a visitor — when you visit Twilio’s website"</t>
  </si>
  <si>
    <t>First things first: we do not sell your personal data, ... We also do not allow any personal data to be used by third parties for their own marketing purposes (except in cases where you explicitly request or provide consent for us to do so, such as at a conference when you direct us to share your information with a sponsor). However, we do need to share it in some circumstances. These may be to provide you services ... or share personal data for cross-context behavioral advertising. ... Twilio uses common information-gathering tools such as cookies, web beacons, pixels and other similar tracking technologies to automatically collect information as you navigate our websites, our services or when you interact with emails we sent to you. ... Global Privacy Control. Global Privacy Control (GPC) is a technical specification that you can use to inform websites of your privacy preferences in regard to ad trackers. To set up GPC, you can visit the Global Privacy Control page. If you do choose to set up GPC, we will automatically turn off all non-required cookies on Twilio’s websites for you. Please note that this may impact the functionality of our websites or your account. Opting out of Advertising Cookies. To learn more about how to opt out of targeting and advertising cookies, you can go to the Your Online Choices page, ...</t>
  </si>
  <si>
    <t xml:space="preserve">You can opt out of receiving marketing communications from us at any time through your marketing preferences page by clicking the “unsubscribe” link at the bottom of any marketing email you receive from Twilio. </t>
  </si>
  <si>
    <t>https://www.twilio.com/en-us/legal/privacy</t>
  </si>
  <si>
    <t>https://www.ucfunnel.com/</t>
  </si>
  <si>
    <t>Particular advertising-related purposes for which ucfunnel clients may use the non-PII they collect on the platform for interest-based advertising in various formats, regions, sequence, and report users respond to ads and aggregated statistics regarding, for example, the effectiveness of online advertising campaigns.</t>
  </si>
  <si>
    <t>By saving information in a cookie, websites and servers can remember preferences or recognize browsers from one visit to another or from one website to another. To make our services when users use the service, identify a user's information or data, the system will record the user behavior, such as the cookie.</t>
  </si>
  <si>
    <t>Through the Platform, we may (but do not necessarily, or always) collect a variety of information about end users. The Platform uses mainly cookies, pixels, beacons, tags, device-based SDKs, and in some cases non-cookie technologies, to collect non-PII associated with particular web browsers or devices. ... The Platform enables ucfunnel's clients to use non-PII they collect to buy and sell online advertising, including interest-based advertising, using real-time bidding.</t>
  </si>
  <si>
    <t>https://www.ucfunnel.com/privacy-policy</t>
  </si>
  <si>
    <t>http://www.various.com/</t>
  </si>
  <si>
    <t xml:space="preserve">We, or a data provider or advertiser that we have engaged, may also place or recognize a cookie on your browser to enable you to receive customized ads or content. </t>
  </si>
  <si>
    <t>"We collect Personal Information when you use or interact with our Services, including when you register with us, create a profile, browse our products online, and make purchases from us (including processing of payment)."</t>
  </si>
  <si>
    <t>https://vicinity.media/</t>
  </si>
  <si>
    <t>At a subsequent visit to the same website, you will be identified as a previous visitor and the website is aware of your previous visit/ s and/ or transaction/ s and/ or conduct. This illustrates what is called your browsing activity or history and preferences, which enables better, targeted advertising to you, amongst other things.</t>
  </si>
  <si>
    <t>Vicinity collects user personal information electronically, when you use/ access the website and/ or partner websites.</t>
  </si>
  <si>
    <t>Vicinity makes use of ‘cookies’, which is information in the form of a small file that is sent by your web browser from a website that you click on/ visit to your electronic device’s hard drive, about that website. At a subsequent visit to the same website, you will be identified as a previous visitor and the website is aware of your previous visit/ s and/ or transaction/ s and/ or conduct. This illustrates what is called your browsing activity or history and preferences, which enables better, targeted advertising to you, amongst other things.</t>
  </si>
  <si>
    <t>https://vicinity.media/privacy-policy/</t>
  </si>
  <si>
    <t>http://www.healthcentralcorp.com/</t>
  </si>
  <si>
    <t>"By way of example, as you browse our Site, cookies may be placed on your computer so that we can understand what you are interested in. Our advertising partners then enable us to present you with retargeted advertising on other sites based on your previous interaction with our Site"</t>
  </si>
  <si>
    <t>"The following information, some of which may constitute Personal Information, is collected automatically when you access or use the Site: Cookies do not typically contain information that individually identifies you, but Personal Information that we store about you may be linked to the information stored in and obtained from cookie"</t>
  </si>
  <si>
    <t xml:space="preserve">You have a right to opt out of the sale of Personal Information. You may, at any time, direct us to not sell Personal Information about you to third parties. </t>
  </si>
  <si>
    <t>https://www.healthcentralcorp.com/privacy-policy</t>
  </si>
  <si>
    <t>https://verve.com/</t>
  </si>
  <si>
    <t>"Mobile advertising identifiers, session and persistent cookies, IP addresses, apps used or downloaded, web sites visited, browser and operating system type, type of device used, information actively provided by users responding to a form in an ad, randomly assigned identifiers, precise and general location information and system information that our SDK may collect about your device or network provider."</t>
  </si>
  <si>
    <t>If a Verve publisher or advertiser partner has transmitted to Verve a “Do Not Sell or Share My Personal Information” signal, an “Opt-Out of the Use of My Personal Information for Interest-Based Advertising” signal, or a “Limit Use of My Sensitive Personal Information” signal, we will limit our use of Personal Information from that partner and we will act only as a service provider as defined in the CCPA. You may also exercise your opt-out rights as described below.</t>
  </si>
  <si>
    <t>"Please email us at ccpa@verve.com for instructions for how you can exercise your California access, deletion and Opt-Out rights."</t>
  </si>
  <si>
    <t>https://verve.com/product-privacy-policies/#California-Residents</t>
  </si>
  <si>
    <t>https://www.yieldify.com/</t>
  </si>
  <si>
    <t>To deliver relevant website content and advertisements to you and measure or understand the effectiveness of the advertising we serve to you</t>
  </si>
  <si>
    <t xml:space="preserve">Automated technologies or interactions. As you interact with our website, we may automatically collect Technical Data about your equipment, browsing actions and patterns. We collect this personal data by using cookies, and other similar technologies. </t>
  </si>
  <si>
    <t>We may have to share your personal data with the parties set out below for the purposes set out in the table in paragraph 4 above: ... Professional services and technology providers such as marketing agencies, advertising partners, website and landing page hosts and marketing and sales technology companies, such as CRM or Marketing Automation tools, who help us run our business.</t>
  </si>
  <si>
    <t>https://www.yieldify.com/privacy-accessibility/</t>
  </si>
  <si>
    <t>https://www.carbonads.net/</t>
  </si>
  <si>
    <t>"As part of the buying and selling process and related transactions in our marketplace Services, we facilitate the sharing of information, which may include some Personally Identifiable Information, between our publisher and advertiser users who work directly with each other."</t>
  </si>
  <si>
    <t>"We may link some of this automatically-collected data to certain Personally Identifiable Information."</t>
  </si>
  <si>
    <t>https://www.buysellads.com/privacy?</t>
  </si>
  <si>
    <t>https://www.yotpo.com/</t>
  </si>
  <si>
    <t>Email,  EmailAgg</t>
  </si>
  <si>
    <t>"This includes contextual, behavioral and interests-based advertising based on Client’s activity, preferences or other data available to us or to our business partners."</t>
  </si>
  <si>
    <t>"We collect such data either automatically, through the data subject’s interaction with us or with our Sites or Services; or through third-party services, social media, analytics tools, events we organize or participate in, and other business initiatives"</t>
  </si>
  <si>
    <t>We do not sell or “share” your personal information for the intents and purposes of the CCPA or CPRA, nor disclose personal information that we “control” to any third party for their direct marketing purposes. We may disclose personal data to third parties or allow them to collect personal data from our Services as described in Section ‎5 above, if those third parties are our customers (in respect of Client-Owned Data processed on their behalf), or our authorized Service Providers or business partners who have agreed to our contractual limitations as to their retention, use, and disclosure of such personal data, or if you integrate the services of third parties with our Services, or direct us to disclose your personal data to third parties, or as otherwise described in Section 5 above.</t>
  </si>
  <si>
    <t>https://www.yotpo.com/privacy-policy/</t>
  </si>
  <si>
    <t>Total Sites</t>
  </si>
  <si>
    <t>Crosslisted</t>
  </si>
  <si>
    <t>Targeted Advertising</t>
  </si>
  <si>
    <t>Profiling</t>
  </si>
  <si>
    <t>Selling</t>
  </si>
  <si>
    <t>Setting: To Opt Out</t>
  </si>
  <si>
    <t>Selling By Default</t>
  </si>
  <si>
    <t>Sign of not selling</t>
  </si>
  <si>
    <t>Totals</t>
  </si>
  <si>
    <t>Selling/ Sharing (Buying/Collecting)
[0, 1]</t>
  </si>
  <si>
    <t>What is it 
[Name of Tag]</t>
  </si>
  <si>
    <t>Relevant URL 
[URL]</t>
  </si>
  <si>
    <t>Crosslisted with Advertising + Selling
[0,1]</t>
  </si>
  <si>
    <t>Crosslisted with Advertising + Targeted Advertising
[0,1]</t>
  </si>
  <si>
    <t>Crosslisted with Advertising + Profiling
[0,1]</t>
  </si>
  <si>
    <t>Crosslisted with FingerprintGen + Selling
[0,1]</t>
  </si>
  <si>
    <t>Crosslisted with FingerprintGen + Targeted Advertising
[0,1]</t>
  </si>
  <si>
    <t>Crosslisted with FingerprintGen + Profiling
[0,1]</t>
  </si>
  <si>
    <t>http://automattic.com/</t>
  </si>
  <si>
    <t>Advertising
Content</t>
  </si>
  <si>
    <t>"Automattic uses cookies and other technologies like pixel tags to help us identify and track visitors, usage, and access preferences for our Services, as well as track and understand email campaign effectiveness and to deliver targeted ads."</t>
  </si>
  <si>
    <t>"We also collect some information automatically:
Information from cookies &amp; other technologies
Interactions with other users’ sites
Location information"</t>
  </si>
  <si>
    <t>"To the extent that we share your information with certain advertising, marketing, or analytics vendors, this can be considered a “sale” or “share” in certain U.S. States, which you may have the right to opt out of."</t>
  </si>
  <si>
    <t>"You can learn more about this sharing and how to opt out by clicking the “Do Not Sell My Personal Information” link in the footer of our websites, or from the settings page within our apps."</t>
  </si>
  <si>
    <t>In a cookie</t>
  </si>
  <si>
    <t>"Our opt-out is managed through cookies, so if you delete cookies, your browser is set to delete cookies automatically after a certain length of time, or if you visit sites in a different browser, you’ll need to make this selection again."</t>
  </si>
  <si>
    <t>https://automattic.com/privacy/</t>
  </si>
  <si>
    <t>http://www.blogcounter.de/</t>
  </si>
  <si>
    <t>Advertising Cookies. Advertising Cookies are used to serve you with advertisements that may be relevant to you and your interests.</t>
  </si>
  <si>
    <t>We may also collect information how the Service is accessed and used (“Usage Data”). This Usage Data may include information such as your computer’s Internet Protocol address (e.g. IP address), browser type, browser version, the pages of our Service that you visit, the time and date of your visit, the time spent on those pages, unique device identifiers and other diagnostic data.</t>
  </si>
  <si>
    <t>We use your data to provide and improve the Service. By using the Service, you agree to the collection and use of information in accordance with this policy.</t>
  </si>
  <si>
    <t>https://www.opensourcecms.com/privacy-policy/</t>
  </si>
  <si>
    <t>http://www.convert.com/</t>
  </si>
  <si>
    <t>Personalize and customize our content and to give you the best user experience and to enable you to participate in interactive features of our Website.</t>
  </si>
  <si>
    <t>Automatic information (some of which can be personal data) about your visits to our Website which will include (but are not limited to) your IP address, online tracking such as location, browser and type of device you use and your operating system,</t>
  </si>
  <si>
    <t>Allow authorized third parties (for a list of our authorized third parties see here) to track and store information about visitors to our website (including IP addresses).
Disclose your personal data to those who are providing services to us if they have appropriate processes to protect it.</t>
  </si>
  <si>
    <t xml:space="preserve">Our customers can place an opt-out link on their website and we respect your privacy when you turn off tracking features and other security settings in your browser. </t>
  </si>
  <si>
    <t>opt-out link on their website that can be used by visitors to their websites who do not want their information given to us</t>
  </si>
  <si>
    <t>https://www.convert.com/privacy-notice/</t>
  </si>
  <si>
    <t>https://www.crownpeak.com/</t>
  </si>
  <si>
    <t>To personalise the marketing messages we send by analysing the details of the products and services you have with us.</t>
  </si>
  <si>
    <t>Your name, job title, contact details (e.g., phone number, email address, postal address or mobile number) and authentication details (e.g., user identification number, username, password to access the services).</t>
  </si>
  <si>
    <t>Service providers and business partners that perform services on our behalf, including improving functionality of our platforms and websites, collecting information about you and assisting us with IT and social media management and data analytics. ... If you would like to exercise these rights please submit a request, with a description of the nature of your request and the Personal Data at issue. ... Right: In relation to automated decision-making and profiling</t>
  </si>
  <si>
    <t>https://www.crownpeak.com/policies/privacy-policy/</t>
  </si>
  <si>
    <t>https://www.eff.org/</t>
  </si>
  <si>
    <t>"EFF does not sell or rent member, donor or website visitor information under any circumstances, and we do not share member, donor or visitor information without prior consent except as compelled by law."</t>
  </si>
  <si>
    <r>
      <rPr>
        <rFont val="Times New Roman"/>
        <color rgb="FF1155CC"/>
        <sz val="11.0"/>
        <u/>
      </rPr>
      <t xml:space="preserve">https://www.eff.org/policy
</t>
    </r>
    <r>
      <rPr>
        <rFont val="Times New Roman"/>
        <sz val="11.0"/>
      </rPr>
      <t>It's a site about preserving internet privacy</t>
    </r>
  </si>
  <si>
    <t>http://extremetracking.com/</t>
  </si>
  <si>
    <t>While it's not up to us which data we receive, it typically includes items such as IP addresses and website performance data derived from browser activity.</t>
  </si>
  <si>
    <t>None of your personal information will be disclosed to anyone without your explicit permission.</t>
  </si>
  <si>
    <t>https://extremetracking.com/?policy</t>
  </si>
  <si>
    <t>http://www.hubspot.com/</t>
  </si>
  <si>
    <t>Email Aggressive</t>
  </si>
  <si>
    <t>"Our ad network partner uses cookies and web beacons to collect information about your activities on this and other websites to provide you targeted advertising based upon your interests"</t>
  </si>
  <si>
    <t>"For these purposes we do link this automatically-collected data to other personal data provided by you such as name, email address, address, and phone number."</t>
  </si>
  <si>
    <t>"Not a Sale. The parties acknowledge and agree that the disclosure of California Personal Information by the Customer to HubSpot does not form part of any monetary or other valuable consideration exchanged between the parties."</t>
  </si>
  <si>
    <t>https://legal.hubspot.com/legal-stuff
https://legal.hubspot.com/dpa</t>
  </si>
  <si>
    <t>https://neilpatel.com/</t>
  </si>
  <si>
    <t>"Advertising cookies – these cookies are used to deliver advertisements that are relevant to you and to your interests."</t>
  </si>
  <si>
    <t>"Neil Patel Digital may automatically receive and log certain types of information when you visit or interact with our websites, services, mobile applications or other products"</t>
  </si>
  <si>
    <t>"To administer and analyze our client base (purchasing behavior and history) in order to improve the quality, variety, and availability of products/ services offered/provided;"</t>
  </si>
  <si>
    <t>"Opt-out of the sale of your Personal Information to certain affiliates and other Third Parties for their marketing purposes. To exercise this right, please submit your request by filling out the form after clicking on this link, or by emailing neil@neilpatel.com. You do not need to verify your identity to opt out. – Or you can go to this page, Do Not Sell My Info."</t>
  </si>
  <si>
    <t>Unclear</t>
  </si>
  <si>
    <t>https://neilpatel.com/privacy/#gdpr-processing
https://neilpatel.com/do-not-track/</t>
  </si>
  <si>
    <t>http://www.liveperson.net/</t>
  </si>
  <si>
    <t>LivePerson uses information you provide through various channels for ordinary business activities, including:
To deliver marketing materials to you,</t>
  </si>
  <si>
    <t>Information you provide to us, such as:
Personal information, such as your name and contact information;</t>
  </si>
  <si>
    <t>LivePerson does not sell or trade personal information provided by you to us in any transcript, survey or recording for purposes of direct marketing.</t>
  </si>
  <si>
    <t>https://www.liveperson.com/policies/privacy</t>
  </si>
  <si>
    <t>http://www.oewa.at/</t>
  </si>
  <si>
    <t>We do not transmit any personal data to external controllers.</t>
  </si>
  <si>
    <t>https://oewa.at/datenschutz/</t>
  </si>
  <si>
    <t>http://parsely.com/</t>
  </si>
  <si>
    <t>"WPVIP uses cookies and other technologies like pixel tags to help us identify and track visitors, usage, and access preferences for our Services, as well as track and understand email campaign effectiveness and to deliver targeted ads"</t>
  </si>
  <si>
    <t>"We also collect some information automatically about your interactions with us or our Services, including:
Activity, Device and Usage information
Information from cookies &amp; other technologies"</t>
  </si>
  <si>
    <t>"We never directly sell your personal information in the conventional sense (i.e., for money), but in some U.S. states the sharing of your information with advertising/analytics vendors can be considered a “sale” of your information, which you may have the right to opt out of"</t>
  </si>
  <si>
    <t>https://wpvip.com/privacy/#h-your-rights</t>
  </si>
  <si>
    <t>http://quinstreet.com/</t>
  </si>
  <si>
    <t>Advertising</t>
  </si>
  <si>
    <t>"We sold and shared the following categories of personal information to Advertising Partners and data aggregators for the commercial purposes described in this Privacy Notice, including for targeted advertising"</t>
  </si>
  <si>
    <t>"We collect profile inferences that we draw from your information and web activity to create a personalized profile so we can better identify goods and services that may be of interest. This data may be sold or shared as described in more detail in our Privacy Notice."</t>
  </si>
  <si>
    <t>"We may “sell” or “share” personal information as those terms are defined under applicable law, and as indicated for each relevant category of personal information below."</t>
  </si>
  <si>
    <t>"To take advantage of your right to opt out of the sale or sharing of personal information or to opt out of targeted advertising, please click here, which is also on our website footer" (https://privacy-central.securiti.ai/#/dsr/1b319101-f00c-470f-a7f0-26aa81f057b8)</t>
  </si>
  <si>
    <t>https://www.quinstreet.com/privacy-notice/</t>
  </si>
  <si>
    <t>https://www.revtrax.com/</t>
  </si>
  <si>
    <t>"Usage Data are the information that is sent automatically to RevTrax’s servers when a User is presented with a Web-based offer. This information includes a User’s device type, operating system version, and Internet browser type and version."</t>
  </si>
  <si>
    <t>"RevTrax does not sell the Personal Information of consumers who interact with the RevTrax Technology."</t>
  </si>
  <si>
    <t>https://www.revtrax.com/privacy-policy/</t>
  </si>
  <si>
    <t>https://www.tracify.ai/</t>
  </si>
  <si>
    <t>"This processing constitutes:
a sale according to the CCPA, VCDPA, CPA, CTDPA and UCPA
targeted advertising according to the CPA, CTDPA and UCPA"</t>
  </si>
  <si>
    <t>"Personal Data may be freely provided by the User, or, in case of Usage Data, collected automatically when using this Website."</t>
  </si>
  <si>
    <t xml:space="preserve">"Facebook Ads conversion tracking (Facebook pixel) (Meta Platforms Ireland Limited)...
This processing constitutes:
a sale according to the CCPA, VCDPA, CPA, CTDPA and UCPA
targeted advertising according to the CPA, CTDPA and UCPA"
</t>
  </si>
  <si>
    <t>"To fully exercise your right to opt out you can contact us at any time, using the contact details provided in this document.
For a simplified opt-out method you can also use the privacy choices link provided on this Website."</t>
  </si>
  <si>
    <t>Can not find aforementioned privacy choices link</t>
  </si>
  <si>
    <t>https://www.tracify.ai/pages/privacy-policy#california_info</t>
  </si>
  <si>
    <t>http://www.zendesk.com/</t>
  </si>
  <si>
    <t>"we share information with advertising partners and allow advertising partners to collect information from our Digital Properties."</t>
  </si>
  <si>
    <t>"Information automatically collected, including technical information about your interactions with our Digital Properties (such as IP address, browsing preferences, and purchase history)."</t>
  </si>
  <si>
    <t>"Although we have not “sold” or “shared” personal data for money in the past 12 months, we engage in routine practices with our Digital Properties involving third parties that could be considered a “sale” or “sharing” as defined under California law."</t>
  </si>
  <si>
    <t>"California residents may request to exercise the Right to Know, the Right to Delete, and the Right to Correct by using our webform or by emailing us at privacy@zendesk.com."</t>
  </si>
  <si>
    <t>https://www.zendesk.com/company/agreements-and-terms/privacy-notice/</t>
  </si>
  <si>
    <t>Crosslisted with Advertising</t>
  </si>
  <si>
    <t>Total Crosslisted with Advertising + Selling</t>
  </si>
  <si>
    <t>Total Crosslisted with Advertising + Targeting</t>
  </si>
  <si>
    <t>Total Crosslisted with Advertising + Profiling</t>
  </si>
  <si>
    <t>Total Crosslisted with FingerprintGen + Selling</t>
  </si>
  <si>
    <t>Total Crosslisted with FingerprintGen + Targeting</t>
  </si>
  <si>
    <t>Total Crosslisted with FingerprintGen + Profiling</t>
  </si>
  <si>
    <t>Crosslisted with FingerprintGen</t>
  </si>
  <si>
    <t>http://www.adobe.com/</t>
  </si>
  <si>
    <t>Email
EmailAgg
Content
Advertising
Analytics</t>
  </si>
  <si>
    <t>"We also disclose personal information to other companies in the Adobe family and with advertising and sales partners consistent with your choices"</t>
  </si>
  <si>
    <t>"In addition, when you see or interact with these buttons, tools, or content, or view an Adobe web page or app containing them, some information from your browser may automatically be sent to the other company. Please read that company’s privacy policy for more information."</t>
  </si>
  <si>
    <t>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t>
  </si>
  <si>
    <t>https://www.adobe.com/privacy/policy.html</t>
  </si>
  <si>
    <t>http://www.avantlink.com/</t>
  </si>
  <si>
    <t>Advertising, Analytics</t>
  </si>
  <si>
    <t>In order to register as an Affiliate or Merchant, Users are required to provide certain identifiers, including contact information (e.g., your name and email address), unique identifiers (e.g., your password), payment details and demographic information (e.g., your zip code).</t>
  </si>
  <si>
    <t>These cookies are used to help us improve your user experience and to track, validate and report on Affiliate, Merchant and user activity through the Service and the links. ... Right to Opt-Out of Sales: You have the right to opt-out of the sale of your personal information; however, we do not “sell” personal information, as that term is defined under Applicable State Laws.</t>
  </si>
  <si>
    <t>You have the right to opt-out of the sale of your personal information; however, we do not “sell” personal information, as that term is defined under Applicable State Laws.</t>
  </si>
  <si>
    <t>please submit a request to us by either emailing us at privacy@avantlink.com or filling out the contact form on our website (avantlink.com).</t>
  </si>
  <si>
    <t>https://www.avantlink.com/privacy-policy/</t>
  </si>
  <si>
    <t>http://consumable.com/</t>
  </si>
  <si>
    <t>"We and our third party advertising partners may collect and use your personal information for marketing and advertising purposes"</t>
  </si>
  <si>
    <t>"We, our service providers and our third party partners may automatically log information about you, your computer or mobile device, and your activity over time on the Service and other online services"</t>
  </si>
  <si>
    <t xml:space="preserve">We do not sell your personal information. Based on our current understanding of the CCPA, we do not “sell” your personal information as defined in the CCPA. However, like many companies online, Consumable uses services provided by Google, Facebook and other advertising companies that track website visitor activity to help deliver interest-based ads to those visitors. We describe this in more detail in the subsection above entitled “Interest-based advertising.” Use of these services may constitute a “sale” of Personal Information under the CCPA where the user has not opted into the tracking. </t>
  </si>
  <si>
    <t>Opt-outs offered are through other systems</t>
  </si>
  <si>
    <t>https://consumable.com/privacy-policy/</t>
  </si>
  <si>
    <t>http://www.doubleverify.com/</t>
  </si>
  <si>
    <t>Fingerprinting
Analytics</t>
  </si>
  <si>
    <t>"Advertising cookies are used to make advertising messages more relevant to you and your interests."</t>
  </si>
  <si>
    <t>"Cookies and other tracking technologies may be used to collect information about your use of our Websites and Marketing Activities so that we can promote our Solutions in a way tailored to your interests on our Websites, or on other websites when you click on a DoubleVerify advertisement"</t>
  </si>
  <si>
    <t>In certain limited circumstances, DoubleVerify may disclose Personal Information in a way that would constitute  “selling” or “sharing” under California and similar U.S. state laws.</t>
  </si>
  <si>
    <t>https://doubleverify.com/cookie-notice/
https://doubleverify.com/privacy-notice/#link2</t>
  </si>
  <si>
    <t>http://www.experian.com/</t>
  </si>
  <si>
    <t>We may share aggregated information (i.e., information about you and other website visitors collectively, but not specifically identifiable to you) and other non-personal, de-identified, or anonymous information we collect with third parties, including affiliates to develop and deliver targeted advertising on our website and on the websites of third parties.</t>
  </si>
  <si>
    <t>we also derive information pertaining to:
Individual consumers, such as:
Gender
Marital status
Estimated age range
Occupation
Education level
Household status (head of household, spouse, elderly parent, young adult</t>
  </si>
  <si>
    <t xml:space="preserve">You have the right to exercise control over the processing of certain personal information. This includes the right to opt out from the sale, sharing, processing, and use of personal information for sales, certain profiling or targeted advertising, and from the use of sensitive personal information. Opting out also includes your right to limit generation, use, and disclosure of sensitive personal information. You can choose to opt-out of the sale, and/or opt out of processing of data for targeted advertising, and certain profiling activities and limit the use of your sensitive information. </t>
  </si>
  <si>
    <t xml:space="preserve">You can choose to opt-out of the sale of your personal information and data, opt out of processing your data for targeted advertising, and limit the use of your sensitive information. This is not related to your credit report, and will not affect your credit score.
</t>
  </si>
  <si>
    <r>
      <rPr>
        <rFont val="Times New Roman"/>
        <sz val="11.0"/>
      </rPr>
      <t xml:space="preserve">DAA Opt Out - </t>
    </r>
    <r>
      <rPr>
        <rFont val="Times New Roman"/>
        <color rgb="FF1155CC"/>
        <sz val="11.0"/>
        <u/>
      </rPr>
      <t>http://www.aboutads.info/choices/</t>
    </r>
  </si>
  <si>
    <t>you may visit the DAA opt-out page and opt-out of this cookie tracking if you do not wish to receive targeted advertising. Please visit http://www.aboutads.info/choices/ for more informatio</t>
  </si>
  <si>
    <t>https://www.experian.com/privacy/us-consumer-data-privacy-policy</t>
  </si>
  <si>
    <t>https://fanplayr.com/</t>
  </si>
  <si>
    <t>"Personal Data processed for the following purposes and using the following services:
Advertising"</t>
  </si>
  <si>
    <t>"Personal Data may be freely provided by the User, or, in case of Usage Data, collected automatically when using Fanplayr.com."</t>
  </si>
  <si>
    <t>Personal Data processed for the following purposes and using the following services: Advertising Fanplayr Personal Data: geographic position; Tracker; Usage Data ... We collect personal information of consumers between the age of 13 and 16 and won't sell their data unless those consumers have opted-in.</t>
  </si>
  <si>
    <t>Referenced a few times but is missing any actual link</t>
  </si>
  <si>
    <t>Proof by reference of opt out</t>
  </si>
  <si>
    <t>usprivacy, _iub_cs-X, IUB_DATA</t>
  </si>
  <si>
    <t>All three can supposedly hold opt out information</t>
  </si>
  <si>
    <t>https://www.iubenda.com/privacy-policy/43327124
https://www.fanplayr.com/legal
https://www.iubenda.com/privacy-policy/43327124/legal</t>
  </si>
  <si>
    <t>http://www.google.com/</t>
  </si>
  <si>
    <t xml:space="preserve">Anti-Fraud
Social
Email
Advertising
Content
Analytics
</t>
  </si>
  <si>
    <t>"We use automated systems that analyze your content to provide you with things like customized search results, personalized ads, or other features tailored to how you use our services."</t>
  </si>
  <si>
    <t>Many websites and apps partner with Google to improve their content and services. For example, a website might use our advertising services (like AdSense) or analytics tools (like Google Analytics), or it might embed other content (such as videos from YouTube). These services may share information about your activity with Google and, depending on your account settings and the products in use (for instance, when a partner uses Google Analytics in conjunction with our advertising services), this data may be associated with your personal information</t>
  </si>
  <si>
    <t>No mention in their privacy policy</t>
  </si>
  <si>
    <t>Buying, in this case</t>
  </si>
  <si>
    <t>https://policies.google.com/privacy?hl=en&amp;fg=1#infocollect</t>
  </si>
  <si>
    <t>https://www.justuno.com/</t>
  </si>
  <si>
    <t>"we partner with third parties that collect information across various channels, including offline and online, for purposes of delivering more relevant advertising to you or your business"</t>
  </si>
  <si>
    <t>Justuno does not sell (as such term is defined in the CCPA) the personal information we collect (and will not sell it without providing a right to opt out). Please note that we do use third-party cookies for our advertising purposes as further described in our Cookie Policy.</t>
  </si>
  <si>
    <t>https://www.justuno.com/legal/privacy-policy/</t>
  </si>
  <si>
    <t>https://polen.com.br/</t>
  </si>
  <si>
    <t>Among the information collected by Polen is: Preferences information such as: products, cart history, order history. Personal information and data are not stored.</t>
  </si>
  <si>
    <t>Eventually Polen may serve advertising of its products through Polen ... In some cases, third-party service providers may use cookies in Polen without the control of Polen. Such cookies are not regulated by this T&amp;P, and the User must agree to the respective conditions of use of such third-party cookies.</t>
  </si>
  <si>
    <t>The User has the option to accept or refuse the use of cookies on their computer, regardless of registration with Polen, by configuring their browser as desired. Refusal to use cookies may, however, result in limiting the User's access to certain tools available on Polen, difficulties in logging in and using Polen tools.</t>
  </si>
  <si>
    <t>https://polen.com.br/termos-de-uso-e-politica-privacidade</t>
  </si>
  <si>
    <t>https://www.roq.ad/</t>
  </si>
  <si>
    <t>Inferences drawn from any of the information above to create a profile about a consumer reflecting the consumer’s preferences, characteristics, psychological trends, predispositions, behavior, attitudes, intelligence, abilities, and aptitudes.</t>
  </si>
  <si>
    <t>If you do not want your information to be collected, you can choose to opt-out anytime on any of your digital devices. It is important to note that even if you opt-out, you will continue to see the same amount of advertising. The only difference will be that the ads themselves will not be as personalized or tailored and will appear more irrelevant to you.</t>
  </si>
  <si>
    <t>This opt-out must be performed on each device and browser that you want to be opted out on.</t>
  </si>
  <si>
    <t>https://www.roq.ad/white-papers/#optout</t>
  </si>
  <si>
    <t>https://www.socital.com</t>
  </si>
  <si>
    <t>to send you information about products and services (including our products and services and those of third parties) in which we believe you may be interested</t>
  </si>
  <si>
    <t xml:space="preserve"> The information that we may collect with these automated methods may include, for example, your IP address, cookie information, a unique device or user ID, browser type, system type, the content and pages that you access on the Socital Site or Services, the frequency and duration of your visits to the Socital Site or Services, and the “referring URL”</t>
  </si>
  <si>
    <t xml:space="preserve">These other websites may place their own cookies or other files on your computer, collect data or solicit Personal Information from you. </t>
  </si>
  <si>
    <t>You can configure your Internet browser, by changing its options, to stop accepting cookies completely or to prompt you before accepting a cookie from the website you visit</t>
  </si>
  <si>
    <t>https://socital.com/privacy/</t>
  </si>
  <si>
    <t>http://thetradedesk.com/</t>
  </si>
  <si>
    <t>"Our Platform helps power ad targeting and delivery across many sites and apps with which users interact every day."</t>
  </si>
  <si>
    <t>"As part of our Platform, we may create and use user profiles associated with pseudonymous identifiers."</t>
  </si>
  <si>
    <t xml:space="preserve">By following the instructions below, you may request The Trade Desk limit its (a) use of your personal information for targeted advertising purposes and (b) sale or sharing of your personal information. </t>
  </si>
  <si>
    <t>If you want to go directly to our Opt Out, please visit http://www.adsrvr.org.</t>
  </si>
  <si>
    <t>TTDOptOut cookie</t>
  </si>
  <si>
    <t>trust arc optout method</t>
  </si>
  <si>
    <t>https://www.adsrvr.org/</t>
  </si>
  <si>
    <t>https://yieldmo.com</t>
  </si>
  <si>
    <t>"The information collected pursuant to this Policy may be used to provide purchasing opportunities and aggregate reports to advertisers, agencies and publishers who participate in the Yieldmo Service, to schedule, deliver and optimize advertisements..."</t>
  </si>
  <si>
    <t>"Collected information includes; cookie or mobile device identifiers, session length, IP address, location, time of usage, viewed pages and files, your advertising campaign selections, and other information regarding your use of the Website (collectively with Registration Data, the “Account Data”)."</t>
  </si>
  <si>
    <t>Opt Out of Sales or Exercise Your “Do Not Sell My Personal Information” Right Under CCPA</t>
  </si>
  <si>
    <t>"You can opt-out via Yieldmo’s opt-out tool here:" (https://yieldmo.com/opt-out/)</t>
  </si>
  <si>
    <t>OPTOUT cookie</t>
  </si>
  <si>
    <t>https://yieldmo.com/privacy-policy/</t>
  </si>
  <si>
    <t>https://fingerprint.com/</t>
  </si>
  <si>
    <t>"We use this information to determine products and services that may be of interest to you for marketing purposes."</t>
  </si>
  <si>
    <t>"We also collect personal data about you automatically when you use the Service... Approximate location information... Information about how you access and use the Service... Log files and information about your device"</t>
  </si>
  <si>
    <t>"If FingerprintJS receives a request made pursuant to the CCPA directly from a Consumer with respect to Personal Information, then FingerprintJS shall either act on behalf of Customer or in accordance with Customer’s instructions in responding to the request or inform the Consumer that the request cannot be acted upon because the request has been sent to a Service Provider"
Clearly subject to the CCPA</t>
  </si>
  <si>
    <t>No mention</t>
  </si>
  <si>
    <t>Yes, by no mention of opt out</t>
  </si>
  <si>
    <t>https://dev.fingerprint.com/docs/privacy-policy?_gl=1*h2f0uq*_ga*MjI0MzcwMTc1LjE2OTU2NzkxNDE.*_ga_XVKDT0L5WV*MTY5NTY3OTE0MC4xLjAuMTY5NTY3OTE0NC41Ni4wLjA.
https://dev.fingerprint.com/docs/dpa-ccpa</t>
  </si>
  <si>
    <t>https://hilltopads.com/</t>
  </si>
  <si>
    <t>"Information regarding Your Properties (including its URL, its category and other similar information) will be made available to other users of the Service for the purposes of selling advertising space or buying advertising space, as the case may be."</t>
  </si>
  <si>
    <t>Does not explicitly mention information being automatically collected</t>
  </si>
  <si>
    <t>"However, your information will be shared with other parties in the following situations:
Information regarding Your Properties (including its URL, its category and other similar information) will be made available to other users of the Service for the purposes of selling advertising space or buying advertising space, as the case may be."</t>
  </si>
  <si>
    <t>https://hilltopads.com/page/legal#privacypolicy</t>
  </si>
  <si>
    <t>https://www.imachines.com/</t>
  </si>
  <si>
    <t>Anti-Fraud</t>
  </si>
  <si>
    <t>"We generally use Cookies for the following purposes:
To serve you with interest-based or targeted advertising."</t>
  </si>
  <si>
    <t>Information collected automatically as a result of a Visitors or Users use of the Site or the Services ("Analytics Information"), such as IP addresses, browser type, Internet service provider, platform type, device type, operating system, date and time stamp of access, and other similar information.</t>
  </si>
  <si>
    <t>Seems largely like an analytics site</t>
  </si>
  <si>
    <t>https://www.imachines.com/privacy</t>
  </si>
  <si>
    <t>https://www.maxmind.com/en/home</t>
  </si>
  <si>
    <t>"Some databases may be used for marketing and advertising purposes for example to serve advertisements in a geographic area."</t>
  </si>
  <si>
    <t>"The categories of information we automatically collect include: Device identifiers... Device information...Internet activity... Non-precise location data"</t>
  </si>
  <si>
    <t>"Some of our disclosures of personal information may be considered a "sale" or "share" as those terms are defined under CPRA"</t>
  </si>
  <si>
    <t>You also have the right to opt out of the processing of personal data for purposes of targeted advertising, or the sale of personal data. You can exercise these rights (i) by visiting by clicking Do Not Sell My Personal Information or (ii) by turning on a recognized opt-out preference signal, such as GPC in your browser or extension</t>
  </si>
  <si>
    <t>https://www.maxmind.com/en/privacy-policy
https://www.maxmind.com/en/opt-out</t>
  </si>
  <si>
    <t>https://www.wideorbit.com/</t>
  </si>
  <si>
    <t>"We collect anonymous data for each user that is used to show the best possible advertisement at each page view on the internet."</t>
  </si>
  <si>
    <t>"We collect certain aggregate and non-personal information when you visit this Web site. Aggregate and non-personal information does not relate to a single identifiable visitor."</t>
  </si>
  <si>
    <t>"Analyzing Personal Information for business reporting and providing personalized services: To better understand your interests and preferences, so that we can personalize our interactions with you and provide you with information and/or offers tailored to your interests."</t>
  </si>
  <si>
    <t>0?</t>
  </si>
  <si>
    <r>
      <rPr>
        <rFont val="Times New Roman"/>
        <sz val="11.0"/>
      </rPr>
      <t xml:space="preserve">Offers method for opting out of anonymized targeted advertising
"To opt out go to </t>
    </r>
    <r>
      <rPr>
        <rFont val="Times New Roman"/>
        <color rgb="FF1155CC"/>
        <sz val="11.0"/>
        <u/>
      </rPr>
      <t>www.youronlinechoices.com</t>
    </r>
    <r>
      <rPr>
        <rFont val="Times New Roman"/>
        <sz val="11.0"/>
      </rPr>
      <t>"</t>
    </r>
  </si>
  <si>
    <t>https://www.wideorbit.com/privacy/</t>
  </si>
  <si>
    <t>http://www.clickyab.com</t>
  </si>
  <si>
    <t>Through the use of cookies, anonymous information about your use of our websites and other websites will be used to provide more relevant adverts about goods and services of interest to you.</t>
  </si>
  <si>
    <t>You have the ability to prevent your computer from accepting cookies but, if you do, certain functionality on the website may be impaired.</t>
  </si>
  <si>
    <t>Site in Indian or other foreign language</t>
  </si>
  <si>
    <t>https://impact.com/</t>
  </si>
  <si>
    <t>Impact may use your Personal Information to contact you with newsletters, marketing or promotional materials and other information that may be of interest to you</t>
  </si>
  <si>
    <t>Such Client Personal Information will include, but is not limited to, name, postal address, business email address, phone number and employer.</t>
  </si>
  <si>
    <t xml:space="preserve">Service-related services and/or to assist us in analyzing how our Services are used. Examples may include ... providing marketing assistance, supplementing the information you provide us in order to provide you with better service, and providing customer service. </t>
  </si>
  <si>
    <t>You may opt out of receiving any, or all, of these communications from us by following the unsubscribe link or instructions provided in any email we send.</t>
  </si>
  <si>
    <t>https://impact.com/privacy-policy/</t>
  </si>
  <si>
    <t>http://islay.tech</t>
  </si>
  <si>
    <t>Additionally, the website collects anonymous data regarding visited pages such as number of visits, country, browser, visit duration etc.</t>
  </si>
  <si>
    <t>The user has the option to block certain types of cookies and other technologies in their browser, for example, by specifying that only those necessary for the correct display of the page are allowed.</t>
  </si>
  <si>
    <t>https://islay.tech/en/privacy-policy/</t>
  </si>
  <si>
    <t>https://sendpulse.com/</t>
  </si>
  <si>
    <t>Email, Analytics</t>
  </si>
  <si>
    <t xml:space="preserve">We partner with third parties to display advertising on our website or to manage and serve our advertising on other sites. Our third party partners may use cookies or similar tracking technologies in order to provide you advertising or other content based upon your browsing activities and interests. </t>
  </si>
  <si>
    <t>That data may include your or your Subscribers
name, email address, physical address, IP address, phone number, age</t>
  </si>
  <si>
    <t>You may be able to change the preferences on your browser or device to prevent or limit your device’s acceptance of cookies, but this may prevent you from taking advantage of some of our features.</t>
  </si>
  <si>
    <t>you are responsible for making sure you have the appropriate permission for us to collect and process information about those individuals (explicit consent).
Consent must be specific to your purposes.
Silence, pre-ticked boxes or inactivity does not constitute consent; data subjects must explicitly opt-in to the storage, use and management of their personal data.</t>
  </si>
  <si>
    <t>https://sendpulse.com/legal/pp</t>
  </si>
  <si>
    <t>Sharing/Selling (Buying/Collecting)
[0, 1]</t>
  </si>
  <si>
    <t>http://digg.com/</t>
  </si>
  <si>
    <t>Digg may also use cookies to display the most appropriate advertisements, based on your interests and activity on our sites.</t>
  </si>
  <si>
    <t>Each access is tracked using a unique identifier assigned to you in one or more cookies stored by your web browser or application and associated with Digg. Digg cookies do not, by themselves, contain Personal Data, and we do not combine the general information collected through cookies with other Personal Data to tell us who you are.</t>
  </si>
  <si>
    <t>In connection with your use of Digg, we receive information about you from various sources, including: (i) through your Digg user account; (ii) your use of Digg generally; and (iii) from third-party websites and services. ... We may use pixel tags, either provided by us or by our third-party advertisers, service providers, and ad networks to collect information about your visit, including the pages you view, the links you click, and other actions taken in connection with Digg</t>
  </si>
  <si>
    <t>For example, you may manage the use and collection of certain information by Google Analytics via the Google Analytics Opt-out Browser Add-on.</t>
  </si>
  <si>
    <t xml:space="preserve">We may otherwise collect information about how you are using Digg to interact with those connected Third-Party Services. </t>
  </si>
  <si>
    <t>https://digg.com/privacy</t>
  </si>
  <si>
    <t>https://www.facebook.com/</t>
  </si>
  <si>
    <t>Advertising
Content
FingerprintGen</t>
  </si>
  <si>
    <t>"Why and how we process your information:
Providing ads on the Meta Products: Our systems automatically process limited categories of information that we've collected and stored to provide you with ads on the Meta Products in accordance with our terms."</t>
  </si>
  <si>
    <t>"Our systems automatically process information we collect and store associated with you and others to assess and understand your interests and your preferences and provide you personalized experiences across the Meta Products in accordance with our terms."</t>
  </si>
  <si>
    <t>We collect and receive information from partners, measuring vendors, marketing vendors and other third parties about a variety of your information and activities on and off our Products.</t>
  </si>
  <si>
    <t>"Cookie-based opt out:
If applicable and available in your jurisdiction, you may use the DAA industry opt-out platform, available in English and Spanish. Residents of Canada may use the DAAoC industry opt-out platform. If you apply certain ad blockers and tools to restrict cookies, it may interfere with your ability to opt out.
Mobile phone-based opt out:
Check your mobile device settings. Different manufacturers provide different ways to opt out of advertisements.
Other online identifiers:
You may use the NAI industry opt-out platform."</t>
  </si>
  <si>
    <t>https://www.facebook.com/privacy/policy</t>
  </si>
  <si>
    <t>http://www.microsoft.com/</t>
  </si>
  <si>
    <t>Advertising
Content
Analytics
FingerprintGen</t>
  </si>
  <si>
    <t>"In particular, we use data to:
...
Advertise and market to you, which includes sending promotional communications, targeting advertising, and presenting you with relevant offers."</t>
  </si>
  <si>
    <t>"Data about your use of Microsoft products. In some cases, such as search queries, this is data you provide in order to make use of the products. In other cases, such as error reports, this is data we generate. Other examples of interactions data include:
Interests and favorites
Content consumption data..."
Etc</t>
  </si>
  <si>
    <t>We may “share” your personal data, as defined under California and other applicable U.S. state laws, for personalized advertising purposes</t>
  </si>
  <si>
    <r>
      <rPr>
        <rFont val="Times New Roman"/>
        <sz val="11.0"/>
      </rPr>
      <t xml:space="preserve">"Control the use of your data for personalized advertising from Microsoft by visiting our opt-out page."
</t>
    </r>
    <r>
      <rPr>
        <rFont val="Times New Roman"/>
        <color rgb="FF1155CC"/>
        <sz val="11.0"/>
        <u/>
      </rPr>
      <t>https://go.microsoft.com/fwlink/?LinkID=286759</t>
    </r>
  </si>
  <si>
    <t>https://privacy.microsoft.com/en-us/privacystatement
https://go.microsoft.com/fwlink/?LinkID=286759
https://privacy.microsoft.com/en-US/ccpa</t>
  </si>
  <si>
    <t>http://www.oracle.com/</t>
  </si>
  <si>
    <t>Advertising, Analytics, Content</t>
  </si>
  <si>
    <t>to provide Advertising services to Oracle customers and partners designed to enable them to market products and services to you based on your interests</t>
  </si>
  <si>
    <t>We may associate personal information about you with interest segments or profiles as part of the provision of Oracle Advertising services to our customers and partners:</t>
  </si>
  <si>
    <t>Under the California Consumer Privacy Act (CCPA), as amended, California residents may request that we: 1. disclose to you the following information: the categories and specific pieces of personal information we collected about you and the categories of personal information we sold (see Section 4); ... the categories of third parties to whom we sold or otherwise disclosed personal information (see Section 8).</t>
  </si>
  <si>
    <t>You can opt out of cookies using the opt-out tools in the next section.</t>
  </si>
  <si>
    <t>Some cookie, unclear</t>
  </si>
  <si>
    <t>https://www.oracle.com/legal/privacy/privacy-choices.html</t>
  </si>
  <si>
    <t>http://www.reddit.com/</t>
  </si>
  <si>
    <t>We use this information to deliver and maintain our services and our site, improve your experience, understand user activity, personalize content and advertisements, measure the effectiveness of advertising, and improve the quality of our Services.</t>
  </si>
  <si>
    <t>We may log information when you access and use the Services.</t>
  </si>
  <si>
    <t xml:space="preserve">We may receive information about you from other sources, including from other users and third parties, and combine that information with the other information we have about you. For example, we may receive demographic or interest information about you from third parties, including advertisers ... Reddit does not "sell” or "share” personal information as those terms are defined under the CCPA. We do not use or disclose sensitive personal information except to provide you the Services or as otherwise permitted by the CCPA. </t>
  </si>
  <si>
    <t xml:space="preserve">You may opt out of us using information we collect from third parties, including advertising partners, to personalize the ads you see on Reddit. </t>
  </si>
  <si>
    <t>Behind firewall</t>
  </si>
  <si>
    <t>https://www.reddit.com/en-us/policies/privacy-policy-revision-2023-07-31</t>
  </si>
  <si>
    <t>http://www.shareaholic.com/</t>
  </si>
  <si>
    <t>Shareaholic may also use other third-party cookies to track the performance of Company advertisements or to assist advertisers in delivering a more relevant advertising experience.</t>
  </si>
  <si>
    <t>"Personal information" is information that you provide to us which personally identifies you, such as your name, email address, or other data which can be reasonably linked to such information by Shareaholic.</t>
  </si>
  <si>
    <t>This is accomplished by providing information about visitors to third-parties with whom we have a relationship. These partners may collect information such as, but not limited to, which web page you came from, which type of browser you are using, and your geographic location, or that you have expressed interest in a website’s content.</t>
  </si>
  <si>
    <t>If however, you prefer that we do not use cookies to collect information about your browsing pattern for the purpose of delivering targeted advertising, you may opt out at any time by clicking on our "Opt-Out" link here.</t>
  </si>
  <si>
    <t>opt_out</t>
  </si>
  <si>
    <t>https://www.shareaholic.com/privacy/</t>
  </si>
  <si>
    <t>http://sharethis.com/</t>
  </si>
  <si>
    <t>"We compile this data and provide it to our Publishers and license it to advertisers, agencies, and other businesses (our “Customers”) to facilitate the delivery of relevant, targeted advertising and for a number of other reasons which are listed below."</t>
  </si>
  <si>
    <t>"We use cookies and similar tracking technologies to collect data automatically when you visit ShareThis.com and use that information to help administer the Website, to remember your preferences, to conduct website analytics and for security and fraud prevention purposes.  "</t>
  </si>
  <si>
    <t>Where we enable third parties to collect pseudonymous information on ShareThis.com (e.g., using cookies and pixels), that information may be viewed as a sale of data by ShareThis under applicable in certain jurisdictions such as California.</t>
  </si>
  <si>
    <t>"If you do not want to receive advertisements based on Usage Data and Profile Information collected by ShareThis on your current browser, you can change and manage your preferences in relation to the collection and processing of Usage Data and Profile Information by clicking the ShareThis opt-out button available on this privacy policy."</t>
  </si>
  <si>
    <t>st_optout cookie</t>
  </si>
  <si>
    <t>https://sharethis.com/privacy/</t>
  </si>
  <si>
    <t>http://www.snap.com/</t>
  </si>
  <si>
    <t>We may obtain information from advertisers, app developers, publishers, and other third parties. We may use this information, among other ways, to help target or measure the performance of ads.</t>
  </si>
  <si>
    <t>When you use our services, you may engage with the camera or creative tools and create and share various types of content including Stories, Snaps, and more. We collect information about content you create or provide on our services, and your engagement with the camera and creative tools.</t>
  </si>
  <si>
    <t>For example, we may use information collected on other websites to show you more relevant ads</t>
  </si>
  <si>
    <t>Most web browsers are set to accept cookies by default.</t>
  </si>
  <si>
    <t>Your browser may provide you with the option to refuse some or all non-essential browser cookies.</t>
  </si>
  <si>
    <t>https://values.snap.com/privacy/privacy-policy</t>
  </si>
  <si>
    <t>https://www.tiktok.com/</t>
  </si>
  <si>
    <t>"To measure and understand the effectiveness of the advertisements we serve to you and others and to deliver advertising, including targeted advertising, to you on the Platform."</t>
  </si>
  <si>
    <t>"We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t>
  </si>
  <si>
    <t>Advertisers, measurement and other partners share information with us about you and the actions you have taken outside of the Platform, such as your activities on other websites and apps or in stores, including the products or services you purchased, online or in person. These partners also share information with us, such as mobile identifiers for advertising, hashed email addresses and phone numbers, and cookie identifiers, which we use to help match you and your actions outside of the Platform with your TikTok account. Some of our advertisers and other partners enable us to collect similar information directly from their websites or apps by integrating our TikTok Advertiser Tools (such as TikTok Pixel). ...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t>
  </si>
  <si>
    <t>"You can navigate to "Ads" in your in-app settings to opt-out of targeted advertising based on personal information about your activity on nonaffiliated apps and websites."</t>
  </si>
  <si>
    <t>https://www.tiktok.com/legal/page/us/privacy-policy/en</t>
  </si>
  <si>
    <t>http://www.yahoo.com/</t>
  </si>
  <si>
    <t>Advertising
Content
Analytics</t>
  </si>
  <si>
    <t>"Match and serve targeted advertising (across devices and both on and off of our Services) and provide targeted advertising based on your device activity, inferred interests and location information."</t>
  </si>
  <si>
    <t>"We collect information when you access content, advertising, sites, interactive widgets, applications, and other products (both on and off of our Services) where Yahoo data collection technologies (such as web beacons, development tools, cookies and other technologies, etc.) are present."</t>
  </si>
  <si>
    <t>We do not sell, license or share information that individually identifies our customers with companies, organizations or individuals outside of Yahoo unless one of the following circumstances applies: ... Advertising, Analytics and Business Partners (Limited to Non-Personally Identifiable Information). We may share aggregated or pseudonymous information (including demographic information) with partners, such as publishers, advertisers, measurement analytics, apps, or other companies. For example, we may tell an advertiser how its ads performed or report how many people installed an app after seeing a promotion.</t>
  </si>
  <si>
    <t>"For example, you can review or edit your account information, manage your marketing preferences, or opt out of targeted ads."</t>
  </si>
  <si>
    <t>Very nice opt-out tool</t>
  </si>
  <si>
    <t>https://legal.yahoo.com/us/en/yahoo/privacy/dashboard/index.html
https://legal.yahoo.com/us/en/yahoo/privacy/index.html</t>
  </si>
  <si>
    <t>Results</t>
  </si>
  <si>
    <t>Total # of Sites</t>
  </si>
  <si>
    <t># of Targeted Advertising</t>
  </si>
  <si>
    <t># of Profiling</t>
  </si>
  <si>
    <t># of Selling/Sharing</t>
  </si>
  <si>
    <t># Crosslisted with Adv.</t>
  </si>
  <si>
    <t>% selling/sharing</t>
  </si>
  <si>
    <t>Social</t>
  </si>
  <si>
    <t>Total</t>
  </si>
  <si>
    <t>Percentages</t>
  </si>
  <si>
    <t>% of Targeted Advertising</t>
  </si>
  <si>
    <t>% of Profiling</t>
  </si>
  <si>
    <t>% of Selling/Sharing</t>
  </si>
  <si>
    <t>% Crosslisted with Adv.</t>
  </si>
  <si>
    <t>% Adv. + Selling</t>
  </si>
  <si>
    <t>Percentages by Category Union</t>
  </si>
  <si>
    <t>Advertising + FingerprintGen + Social</t>
  </si>
  <si>
    <t>Standard Error</t>
  </si>
  <si>
    <t>Confidence Interval Ranges (95%)</t>
  </si>
  <si>
    <t>Selling / Sharing</t>
  </si>
  <si>
    <t>Min</t>
  </si>
  <si>
    <t>Max</t>
  </si>
  <si>
    <t>half interval width</t>
  </si>
  <si>
    <t># sites needed to get 95% confidence interval with half width &lt; above #</t>
  </si>
  <si>
    <t>targeted advertising</t>
  </si>
  <si>
    <t>profiling</t>
  </si>
  <si>
    <t>selling/sharing</t>
  </si>
  <si>
    <t>current half-width for 95% CI</t>
  </si>
  <si>
    <t>Disconnect List accessed on: September 15, 2023</t>
  </si>
  <si>
    <t>Choosing the Websites to Analyze</t>
  </si>
  <si>
    <t>First we narrowed down the cateogries of sites we wanted to analyze to Advertising, Analytics, Fingerprinting General, Fingerprinting Invasive, and Social.</t>
  </si>
  <si>
    <t>Then we randomly generated individual numbers between 0 and the max amount of sites in each category.</t>
  </si>
  <si>
    <t>For Advertising we generated 76 numbers, Analytics had 30 numbers, and FingerprintGen, FingerprintInv and Social all had 15 numbers generated</t>
  </si>
  <si>
    <t>These random numbers corresponded to the listing of sites in the Disconnect list per category.</t>
  </si>
  <si>
    <t>Methodology Per Site:</t>
  </si>
  <si>
    <t>1. Enter the Disconnect list and go to the cateogry. Then find the site which corresponds to the number that was generated</t>
  </si>
  <si>
    <t>2. Copy and paste the URL from the Disconnect list into your browser</t>
  </si>
  <si>
    <t>a. If the URL is foreign without an English translation, or the domain is down, move to the next number after. Be sure to check that the new number has not already been analyzed and replace the ID when you find an analyzable site.</t>
  </si>
  <si>
    <t>3. Scroll to the bottom of the website and click on 'Privacy Policy', or an equivalent link</t>
  </si>
  <si>
    <t>4. To check for target advertising: First look for keywords such as 'targeted', 'personalized', 'customized'. If those don't show proof then look for sections that acknowledge what the site does with it's data. If still no proof, read through the policy looking for anything that would imply targeted advertising</t>
  </si>
  <si>
    <t>5. To check for profiling: First look for keywords such as 'personal', 'identifiable', 'profiling'. If those don't show proof then look for sections that acknowledge how the site collects data and what it collects. If still no proof, read through the policy looking for anything that would imply profiling or collection Personally Identifiable Information.</t>
  </si>
  <si>
    <t>6. To check for selling: First look for keywords such as 'sharing', 'selling', 'third party'. If those don't show proof then look for sections that acknowledge why the site collects data and what it does with it. If still no proof, read through the policy looking for anything that would imply profiling or collection Personally Identifiable Information.</t>
  </si>
  <si>
    <t>7. If any valuable information is found it should be put into the spreadsheet under "Evidence" and the link for the site should be put into "Relevant URL."</t>
  </si>
  <si>
    <t>8. To check for crosslisting: CTRL + F for the website URL in the Disconnect list</t>
  </si>
  <si>
    <t>Column Definitions</t>
  </si>
  <si>
    <t>Selling: Is a site "selling" information?</t>
  </si>
  <si>
    <t>Setting not to sell: Does this site have an option to prevent cross contextual share of information?</t>
  </si>
  <si>
    <t>Selling by default: Does the site start off collecting and "selling" information?</t>
  </si>
  <si>
    <t>Sign of not selling: If the site has an option to prevent cross contextual share of information, does it have a marker?</t>
  </si>
  <si>
    <t>Selling/ Sharing
[0, 1]</t>
  </si>
  <si>
    <t>https://twitter.com/</t>
  </si>
  <si>
    <t>Kate</t>
  </si>
  <si>
    <r>
      <rPr>
        <rFont val="Arial"/>
        <color rgb="FF657786"/>
        <sz val="12.0"/>
      </rPr>
      <t xml:space="preserve">We also use the information we collect to improve and personalize our products and services so that you have a better experience on X, including by showing you more relevant content and ads, suggesting people and topics to follow, enabling and helping you discover </t>
    </r>
    <r>
      <rPr>
        <rFont val="Arial"/>
        <color rgb="FF657786"/>
        <sz val="12.0"/>
        <u/>
      </rPr>
      <t>affiliates</t>
    </r>
    <r>
      <rPr>
        <rFont val="Arial"/>
        <color rgb="FF657786"/>
        <sz val="12.0"/>
      </rPr>
      <t>, third-party apps, and services.</t>
    </r>
  </si>
  <si>
    <t>When you use other online products and services, they may share information about that usage with us.
Our ad and business partners share information with us such as browser cookie IDs, X-generated identifiers, mobile device IDs, hashed user information like email addresses, demographic or interest data, and content viewed or actions taken on a website or app. Information shared by ad partners and affiliates or collected by X from the websites and apps of ad partners and affiliates may be combined with the other information you share with X and that X receives, generates, or infers about you described elsewhere in this Privacy Policy.</t>
  </si>
  <si>
    <t>X adheres to the Digital Advertising Alliance Self-Regulatory Principles for Online Behavioral Advertising (also referred to as “interest-based advertising”) and respects the DAA’s consumer choice tool for you to opt out of interest-based advertising at https://optout.aboutads.info/.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</si>
</sst>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mm/dd/yyyy"/>
    <numFmt numFmtId="166" formatCode="mm/dd/yy"/>
    <numFmt numFmtId="167" formatCode="0.000"/>
    <numFmt numFmtId="168" formatCode="m/d"/>
  </numFmts>
  <fonts count="19">
    <font>
      <sz val="10.0"/>
      <color rgb="FF000000"/>
      <name val="Arial"/>
      <scheme val="minor"/>
    </font>
    <font>
      <b/>
      <sz val="11.0"/>
      <color theme="1"/>
      <name val="Times New Roman"/>
    </font>
    <font>
      <b/>
      <color theme="1"/>
      <name val="Arial"/>
      <scheme val="minor"/>
    </font>
    <font>
      <sz val="11.0"/>
      <color rgb="FF000000"/>
      <name val="Times New Roman"/>
    </font>
    <font>
      <u/>
      <sz val="11.0"/>
      <color rgb="FF0000FF"/>
      <name val="Times New Roman"/>
    </font>
    <font>
      <sz val="11.0"/>
      <color theme="1"/>
      <name val="Times New Roman"/>
    </font>
    <font>
      <color theme="1"/>
      <name val="Arial"/>
      <scheme val="minor"/>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1155CC"/>
      <name val="Times New Roman"/>
    </font>
    <font>
      <color theme="1"/>
      <name val="Arial"/>
    </font>
    <font>
      <sz val="9.0"/>
      <color rgb="FF000000"/>
      <name val="&quot;Google Sans Mono&quot;"/>
    </font>
    <font>
      <u/>
      <color rgb="FF0000FF"/>
    </font>
    <font>
      <u/>
      <sz val="12.0"/>
      <color rgb="FF657786"/>
      <name val="&quot;Helvetica Neue LT&quot;"/>
    </font>
    <font>
      <u/>
      <sz val="12.0"/>
      <color rgb="FF657786"/>
      <name val="&quot;Helvetica Neue LT&quot;"/>
    </font>
    <font>
      <sz val="9.0"/>
      <color rgb="FF1F1F1F"/>
      <name val="&quot;Google Sans&quot;"/>
    </font>
  </fonts>
  <fills count="13">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B6D7A8"/>
        <bgColor rgb="FFB6D7A8"/>
      </patternFill>
    </fill>
    <fill>
      <patternFill patternType="solid">
        <fgColor rgb="FFEAD1DC"/>
        <bgColor rgb="FFEAD1DC"/>
      </patternFill>
    </fill>
    <fill>
      <patternFill patternType="solid">
        <fgColor rgb="FFEA9999"/>
        <bgColor rgb="FFEA9999"/>
      </patternFill>
    </fill>
    <fill>
      <patternFill patternType="solid">
        <fgColor rgb="FFCFE2F3"/>
        <bgColor rgb="FFCFE2F3"/>
      </patternFill>
    </fill>
    <fill>
      <patternFill patternType="solid">
        <fgColor rgb="FF93C47D"/>
        <bgColor rgb="FF93C47D"/>
      </patternFill>
    </fill>
    <fill>
      <patternFill patternType="solid">
        <fgColor rgb="FF6AA84F"/>
        <bgColor rgb="FF6AA84F"/>
      </patternFill>
    </fill>
    <fill>
      <patternFill patternType="solid">
        <fgColor rgb="FFD9D2E9"/>
        <bgColor rgb="FFD9D2E9"/>
      </patternFill>
    </fill>
    <fill>
      <patternFill patternType="solid">
        <fgColor theme="0"/>
        <bgColor theme="0"/>
      </patternFill>
    </fill>
    <fill>
      <patternFill patternType="solid">
        <fgColor rgb="FFFFFFFF"/>
        <bgColor rgb="FFFFFFFF"/>
      </patternFill>
    </fill>
  </fills>
  <borders count="3">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3" fontId="1" numFmtId="0" xfId="0" applyAlignment="1" applyBorder="1" applyFill="1" applyFont="1">
      <alignment horizontal="center" readingOrder="0" shrinkToFit="0" wrapText="1"/>
    </xf>
    <xf borderId="2" fillId="3" fontId="1" numFmtId="0" xfId="0" applyAlignment="1" applyBorder="1" applyFont="1">
      <alignment horizontal="center" readingOrder="0" shrinkToFit="0" wrapText="1"/>
    </xf>
    <xf borderId="1" fillId="4" fontId="1" numFmtId="0" xfId="0" applyAlignment="1" applyBorder="1" applyFill="1" applyFont="1">
      <alignment horizontal="center" readingOrder="0" shrinkToFit="0" wrapText="1"/>
    </xf>
    <xf borderId="1" fillId="5" fontId="1" numFmtId="0" xfId="0" applyAlignment="1" applyBorder="1" applyFill="1" applyFont="1">
      <alignment horizontal="center" readingOrder="0" shrinkToFit="0" wrapText="1"/>
    </xf>
    <xf borderId="1" fillId="6" fontId="1" numFmtId="0" xfId="0" applyAlignment="1" applyBorder="1" applyFill="1" applyFont="1">
      <alignment horizontal="center" readingOrder="0" shrinkToFit="0" wrapText="1"/>
    </xf>
    <xf borderId="1" fillId="7" fontId="1" numFmtId="0" xfId="0" applyAlignment="1" applyBorder="1" applyFill="1" applyFont="1">
      <alignment horizontal="center" readingOrder="0" shrinkToFit="0" wrapText="1"/>
    </xf>
    <xf borderId="0" fillId="0" fontId="2" numFmtId="0" xfId="0" applyAlignment="1" applyFont="1">
      <alignment shrinkToFit="0" wrapText="1"/>
    </xf>
    <xf borderId="1" fillId="2" fontId="3" numFmtId="0" xfId="0" applyAlignment="1" applyBorder="1" applyFont="1">
      <alignment readingOrder="0"/>
    </xf>
    <xf borderId="1" fillId="2" fontId="4" numFmtId="0" xfId="0" applyAlignment="1" applyBorder="1" applyFont="1">
      <alignment readingOrder="0" shrinkToFit="0" wrapText="1"/>
    </xf>
    <xf borderId="1" fillId="3" fontId="5" numFmtId="164" xfId="0" applyAlignment="1" applyBorder="1" applyFont="1" applyNumberFormat="1">
      <alignment readingOrder="0" shrinkToFit="0" wrapText="1"/>
    </xf>
    <xf borderId="1" fillId="3" fontId="5" numFmtId="0" xfId="0" applyAlignment="1" applyBorder="1" applyFont="1">
      <alignment readingOrder="0" shrinkToFit="0" wrapText="1"/>
    </xf>
    <xf borderId="1" fillId="3" fontId="5" numFmtId="165" xfId="0" applyAlignment="1" applyBorder="1" applyFont="1" applyNumberFormat="1">
      <alignment readingOrder="0" shrinkToFit="0" wrapText="1"/>
    </xf>
    <xf borderId="1" fillId="4" fontId="5" numFmtId="0" xfId="0" applyAlignment="1" applyBorder="1" applyFont="1">
      <alignment readingOrder="0" shrinkToFit="0" wrapText="1"/>
    </xf>
    <xf borderId="1" fillId="4" fontId="5" numFmtId="0" xfId="0" applyAlignment="1" applyBorder="1" applyFont="1">
      <alignment shrinkToFit="0" wrapText="1"/>
    </xf>
    <xf borderId="1" fillId="5" fontId="5" numFmtId="0" xfId="0" applyAlignment="1" applyBorder="1" applyFont="1">
      <alignment readingOrder="0" shrinkToFit="0" wrapText="1"/>
    </xf>
    <xf borderId="1" fillId="6" fontId="5" numFmtId="0" xfId="0" applyAlignment="1" applyBorder="1" applyFont="1">
      <alignment readingOrder="0" shrinkToFit="0" wrapText="1"/>
    </xf>
    <xf borderId="1" fillId="6" fontId="5" numFmtId="0" xfId="0" applyAlignment="1" applyBorder="1" applyFont="1">
      <alignment shrinkToFit="0" wrapText="1"/>
    </xf>
    <xf borderId="1" fillId="7" fontId="5" numFmtId="0" xfId="0" applyAlignment="1" applyBorder="1" applyFont="1">
      <alignment readingOrder="0" shrinkToFit="0" wrapText="1"/>
    </xf>
    <xf borderId="0" fillId="0" fontId="6" numFmtId="0" xfId="0" applyAlignment="1" applyFont="1">
      <alignment shrinkToFit="0" wrapText="1"/>
    </xf>
    <xf borderId="1" fillId="7" fontId="7" numFmtId="0" xfId="0" applyAlignment="1" applyBorder="1" applyFont="1">
      <alignment readingOrder="0" shrinkToFit="0" wrapText="1"/>
    </xf>
    <xf borderId="1" fillId="2" fontId="8" numFmtId="0" xfId="0" applyAlignment="1" applyBorder="1" applyFont="1">
      <alignment readingOrder="0" shrinkToFit="0" wrapText="1"/>
    </xf>
    <xf borderId="1" fillId="2" fontId="5" numFmtId="0" xfId="0" applyAlignment="1" applyBorder="1" applyFont="1">
      <alignment readingOrder="0" shrinkToFit="0" wrapText="1"/>
    </xf>
    <xf borderId="1" fillId="3" fontId="5" numFmtId="166" xfId="0" applyAlignment="1" applyBorder="1" applyFont="1" applyNumberFormat="1">
      <alignment readingOrder="0" shrinkToFit="0" wrapText="1"/>
    </xf>
    <xf borderId="1" fillId="6" fontId="9" numFmtId="0" xfId="0" applyAlignment="1" applyBorder="1" applyFont="1">
      <alignment readingOrder="0" shrinkToFit="0" wrapText="1"/>
    </xf>
    <xf borderId="1" fillId="6" fontId="10" numFmtId="0" xfId="0" applyAlignment="1" applyBorder="1" applyFont="1">
      <alignment readingOrder="0" shrinkToFit="0" wrapText="1"/>
    </xf>
    <xf borderId="1" fillId="7" fontId="5" numFmtId="0" xfId="0" applyAlignment="1" applyBorder="1" applyFont="1">
      <alignment readingOrder="0" shrinkToFit="0" wrapText="1"/>
    </xf>
    <xf borderId="1" fillId="7" fontId="11" numFmtId="0" xfId="0" applyAlignment="1" applyBorder="1" applyFont="1">
      <alignment readingOrder="0" shrinkToFit="0" wrapText="1"/>
    </xf>
    <xf borderId="1" fillId="7" fontId="12" numFmtId="0" xfId="0" applyAlignment="1" applyBorder="1" applyFont="1">
      <alignment readingOrder="0" shrinkToFit="0" wrapText="1"/>
    </xf>
    <xf borderId="1" fillId="3" fontId="5" numFmtId="0" xfId="0" applyAlignment="1" applyBorder="1" applyFont="1">
      <alignment shrinkToFit="0" wrapText="1"/>
    </xf>
    <xf borderId="1" fillId="7" fontId="5" numFmtId="0" xfId="0" applyAlignment="1" applyBorder="1" applyFont="1">
      <alignment shrinkToFit="0" wrapText="1"/>
    </xf>
    <xf borderId="1" fillId="5" fontId="5" numFmtId="0" xfId="0" applyAlignment="1" applyBorder="1" applyFont="1">
      <alignment shrinkToFit="0" wrapText="1"/>
    </xf>
    <xf borderId="1" fillId="7" fontId="3" numFmtId="0" xfId="0" applyAlignment="1" applyBorder="1" applyFont="1">
      <alignment readingOrder="0" shrinkToFit="0" wrapText="1"/>
    </xf>
    <xf borderId="0" fillId="4" fontId="5" numFmtId="0" xfId="0" applyAlignment="1" applyFont="1">
      <alignment readingOrder="0" shrinkToFit="0" wrapText="1"/>
    </xf>
    <xf borderId="0" fillId="4" fontId="5" numFmtId="0" xfId="0" applyAlignment="1" applyFont="1">
      <alignment shrinkToFit="0" wrapText="1"/>
    </xf>
    <xf borderId="1" fillId="4" fontId="1" numFmtId="0" xfId="0" applyAlignment="1" applyBorder="1" applyFont="1">
      <alignment horizontal="center" readingOrder="0" shrinkToFit="0" vertical="bottom" wrapText="1"/>
    </xf>
    <xf borderId="0" fillId="4" fontId="6" numFmtId="0" xfId="0" applyAlignment="1" applyFont="1">
      <alignment shrinkToFit="0" wrapText="1"/>
    </xf>
    <xf borderId="0" fillId="4" fontId="13" numFmtId="0" xfId="0" applyAlignment="1" applyFont="1">
      <alignment horizontal="right" shrinkToFit="0" vertical="bottom" wrapText="1"/>
    </xf>
    <xf borderId="0" fillId="4" fontId="14" numFmtId="0" xfId="0" applyFont="1"/>
    <xf borderId="0" fillId="4" fontId="5" numFmtId="0" xfId="0" applyAlignment="1" applyFont="1">
      <alignment readingOrder="0" shrinkToFit="0" vertical="bottom" wrapText="1"/>
    </xf>
    <xf borderId="0" fillId="4" fontId="5" numFmtId="0" xfId="0" applyAlignment="1" applyFont="1">
      <alignment horizontal="right" shrinkToFit="0" vertical="bottom" wrapText="1"/>
    </xf>
    <xf borderId="0" fillId="0" fontId="13" numFmtId="0" xfId="0" applyAlignment="1" applyFont="1">
      <alignment vertical="bottom"/>
    </xf>
    <xf borderId="0" fillId="8" fontId="1" numFmtId="0" xfId="0" applyAlignment="1" applyFill="1" applyFont="1">
      <alignment readingOrder="0" shrinkToFit="0" wrapText="1"/>
    </xf>
    <xf borderId="0" fillId="8" fontId="5" numFmtId="0" xfId="0" applyAlignment="1" applyFont="1">
      <alignment readingOrder="0" shrinkToFit="0" wrapText="1"/>
    </xf>
    <xf borderId="0" fillId="9" fontId="5" numFmtId="0" xfId="0" applyAlignment="1" applyFill="1" applyFont="1">
      <alignment readingOrder="0" shrinkToFit="0" wrapText="1"/>
    </xf>
    <xf borderId="0" fillId="9" fontId="5" numFmtId="0" xfId="0" applyAlignment="1" applyFont="1">
      <alignment shrinkToFit="0" wrapText="1"/>
    </xf>
    <xf borderId="0" fillId="4" fontId="1" numFmtId="0" xfId="0" applyAlignment="1" applyFont="1">
      <alignment readingOrder="0" shrinkToFit="0" wrapText="1"/>
    </xf>
    <xf borderId="0" fillId="8" fontId="5" numFmtId="0" xfId="0" applyAlignment="1" applyFont="1">
      <alignment shrinkToFit="0" wrapText="1"/>
    </xf>
    <xf borderId="0" fillId="4" fontId="5" numFmtId="0" xfId="0" applyAlignment="1" applyFont="1">
      <alignment horizontal="right" readingOrder="0" shrinkToFit="0" wrapText="1"/>
    </xf>
    <xf borderId="0" fillId="4" fontId="6" numFmtId="0" xfId="0" applyAlignment="1" applyFont="1">
      <alignment readingOrder="0" shrinkToFit="0" wrapText="1"/>
    </xf>
    <xf borderId="0" fillId="8" fontId="1" numFmtId="167" xfId="0" applyAlignment="1" applyFont="1" applyNumberFormat="1">
      <alignment readingOrder="0" shrinkToFit="0" wrapText="1"/>
    </xf>
    <xf borderId="0" fillId="4" fontId="5" numFmtId="167" xfId="0" applyAlignment="1" applyFont="1" applyNumberFormat="1">
      <alignment shrinkToFit="0" wrapText="1"/>
    </xf>
    <xf borderId="0" fillId="4" fontId="6" numFmtId="167" xfId="0" applyAlignment="1" applyFont="1" applyNumberFormat="1">
      <alignment readingOrder="0" shrinkToFit="0" wrapText="1"/>
    </xf>
    <xf borderId="0" fillId="4" fontId="1" numFmtId="167" xfId="0" applyAlignment="1" applyFont="1" applyNumberFormat="1">
      <alignment readingOrder="0" shrinkToFit="0" wrapText="1"/>
    </xf>
    <xf borderId="0" fillId="4" fontId="5" numFmtId="167" xfId="0" applyAlignment="1" applyFont="1" applyNumberFormat="1">
      <alignment readingOrder="0" shrinkToFit="0" wrapText="1"/>
    </xf>
    <xf borderId="0" fillId="4" fontId="5" numFmtId="2" xfId="0" applyAlignment="1" applyFont="1" applyNumberFormat="1">
      <alignment readingOrder="0" shrinkToFit="0" wrapText="1"/>
    </xf>
    <xf borderId="0" fillId="4" fontId="6" numFmtId="2" xfId="0" applyAlignment="1" applyFont="1" applyNumberFormat="1">
      <alignment shrinkToFit="0" wrapText="1"/>
    </xf>
    <xf borderId="0" fillId="4" fontId="6" numFmtId="167" xfId="0" applyAlignment="1" applyFont="1" applyNumberFormat="1">
      <alignment shrinkToFit="0" wrapText="1"/>
    </xf>
    <xf borderId="0" fillId="4" fontId="5" numFmtId="2" xfId="0" applyAlignment="1" applyFont="1" applyNumberFormat="1">
      <alignment shrinkToFit="0" wrapText="1"/>
    </xf>
    <xf borderId="0" fillId="8" fontId="5" numFmtId="2" xfId="0" applyAlignment="1" applyFont="1" applyNumberFormat="1">
      <alignment readingOrder="0" shrinkToFit="0" wrapText="1"/>
    </xf>
    <xf borderId="0" fillId="4" fontId="13" numFmtId="0" xfId="0" applyAlignment="1" applyFont="1">
      <alignment vertical="bottom"/>
    </xf>
    <xf borderId="0" fillId="8" fontId="5" numFmtId="167" xfId="0" applyAlignment="1" applyFont="1" applyNumberFormat="1">
      <alignment readingOrder="0" shrinkToFit="0" wrapText="1"/>
    </xf>
    <xf borderId="0" fillId="4" fontId="5" numFmtId="0" xfId="0" applyFont="1"/>
    <xf borderId="0" fillId="4" fontId="6" numFmtId="0" xfId="0" applyFont="1"/>
    <xf borderId="0" fillId="4" fontId="5" numFmtId="0" xfId="0" applyAlignment="1" applyFont="1">
      <alignment readingOrder="0" vertical="bottom"/>
    </xf>
    <xf borderId="0" fillId="9" fontId="5" numFmtId="2" xfId="0" applyAlignment="1" applyFont="1" applyNumberFormat="1">
      <alignment readingOrder="0" shrinkToFit="0" wrapText="1"/>
    </xf>
    <xf borderId="0" fillId="4" fontId="5" numFmtId="0" xfId="0" applyAlignment="1" applyFont="1">
      <alignment vertical="bottom"/>
    </xf>
    <xf borderId="0" fillId="0" fontId="5" numFmtId="0" xfId="0" applyAlignment="1" applyFont="1">
      <alignment shrinkToFit="0" wrapText="1"/>
    </xf>
    <xf borderId="0" fillId="10" fontId="6" numFmtId="0" xfId="0" applyAlignment="1" applyFill="1" applyFont="1">
      <alignment readingOrder="0" shrinkToFit="0" wrapText="1"/>
    </xf>
    <xf borderId="0" fillId="0" fontId="2" numFmtId="0" xfId="0" applyAlignment="1" applyFont="1">
      <alignment readingOrder="0"/>
    </xf>
    <xf borderId="0" fillId="10" fontId="2" numFmtId="0" xfId="0" applyAlignment="1" applyFont="1">
      <alignment readingOrder="0"/>
    </xf>
    <xf borderId="0" fillId="10" fontId="6" numFmtId="0" xfId="0" applyFont="1"/>
    <xf borderId="0" fillId="10" fontId="6" numFmtId="0" xfId="0" applyAlignment="1" applyFont="1">
      <alignment readingOrder="0"/>
    </xf>
    <xf borderId="0" fillId="10" fontId="2" numFmtId="0" xfId="0" applyAlignment="1" applyFont="1">
      <alignment readingOrder="0" shrinkToFit="0" wrapText="1"/>
    </xf>
    <xf borderId="0" fillId="11" fontId="1" numFmtId="0" xfId="0" applyAlignment="1" applyFill="1" applyFont="1">
      <alignment horizontal="center" readingOrder="0" shrinkToFit="0" wrapText="1"/>
    </xf>
    <xf borderId="0" fillId="11" fontId="1" numFmtId="0" xfId="0" applyAlignment="1" applyFont="1">
      <alignment horizontal="center" readingOrder="0" shrinkToFit="0" vertical="bottom" wrapText="1"/>
    </xf>
    <xf borderId="0" fillId="11" fontId="2" numFmtId="0" xfId="0" applyAlignment="1" applyFont="1">
      <alignment shrinkToFit="0" wrapText="1"/>
    </xf>
    <xf borderId="0" fillId="0" fontId="15" numFmtId="0" xfId="0" applyAlignment="1" applyFont="1">
      <alignment readingOrder="0" shrinkToFit="0" wrapText="1"/>
    </xf>
    <xf borderId="0" fillId="0" fontId="6" numFmtId="168" xfId="0" applyAlignment="1" applyFont="1" applyNumberFormat="1">
      <alignment readingOrder="0" shrinkToFit="0" wrapText="1"/>
    </xf>
    <xf borderId="0" fillId="0" fontId="6" numFmtId="0" xfId="0" applyAlignment="1" applyFont="1">
      <alignment readingOrder="0" shrinkToFit="0" wrapText="1"/>
    </xf>
    <xf borderId="0" fillId="12" fontId="16" numFmtId="0" xfId="0" applyAlignment="1" applyFill="1" applyFont="1">
      <alignment readingOrder="0" shrinkToFit="0" wrapText="1"/>
    </xf>
    <xf borderId="0" fillId="12" fontId="17" numFmtId="0" xfId="0" applyAlignment="1" applyFont="1">
      <alignment readingOrder="0" shrinkToFit="0" wrapText="1"/>
    </xf>
    <xf borderId="0" fillId="12" fontId="18" numFmtId="0" xfId="0" applyAlignment="1" applyFont="1">
      <alignment readingOrder="0" shrinkToFit="0" wrapText="1"/>
    </xf>
    <xf borderId="0" fillId="11"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ublepimp.com/" TargetMode="External"/><Relationship Id="rId42" Type="http://schemas.openxmlformats.org/officeDocument/2006/relationships/hyperlink" Target="https://www.drift.com/" TargetMode="External"/><Relationship Id="rId41" Type="http://schemas.openxmlformats.org/officeDocument/2006/relationships/hyperlink" Target="https://doublepimp.com/privacypolicy" TargetMode="External"/><Relationship Id="rId44" Type="http://schemas.openxmlformats.org/officeDocument/2006/relationships/hyperlink" Target="https://www.drift.com/privacy-policy/" TargetMode="External"/><Relationship Id="rId43" Type="http://schemas.openxmlformats.org/officeDocument/2006/relationships/hyperlink" Target="https://preferences.drift.com/dont_sell" TargetMode="External"/><Relationship Id="rId46" Type="http://schemas.openxmlformats.org/officeDocument/2006/relationships/hyperlink" Target="https://www.ebayinc.com/company/privacy-center/privacy-notice/state-privacy-disclosures/" TargetMode="External"/><Relationship Id="rId45" Type="http://schemas.openxmlformats.org/officeDocument/2006/relationships/hyperlink" Target="http://www.ebay.com/" TargetMode="External"/><Relationship Id="rId107" Type="http://schemas.openxmlformats.org/officeDocument/2006/relationships/hyperlink" Target="https://privacy-center.sharethrough.com/en/do-not-sell-my-personal-information/" TargetMode="External"/><Relationship Id="rId106" Type="http://schemas.openxmlformats.org/officeDocument/2006/relationships/hyperlink" Target="https://privacy-center.sharethrough.com/en/do-not-sell-my-personal-information/" TargetMode="External"/><Relationship Id="rId105" Type="http://schemas.openxmlformats.org/officeDocument/2006/relationships/hyperlink" Target="https://sharethrough.com/" TargetMode="External"/><Relationship Id="rId104" Type="http://schemas.openxmlformats.org/officeDocument/2006/relationships/hyperlink" Target="https://scribol.com/p/privacy-policy/" TargetMode="External"/><Relationship Id="rId109" Type="http://schemas.openxmlformats.org/officeDocument/2006/relationships/hyperlink" Target="https://smartyads.com/privacy-policy" TargetMode="External"/><Relationship Id="rId108" Type="http://schemas.openxmlformats.org/officeDocument/2006/relationships/hyperlink" Target="https://smartyads.com/" TargetMode="External"/><Relationship Id="rId48" Type="http://schemas.openxmlformats.org/officeDocument/2006/relationships/hyperlink" Target="https://www.etrigue.com/trust/privacy-policy/" TargetMode="External"/><Relationship Id="rId47" Type="http://schemas.openxmlformats.org/officeDocument/2006/relationships/hyperlink" Target="http://www.etrigue.com/" TargetMode="External"/><Relationship Id="rId49" Type="http://schemas.openxmlformats.org/officeDocument/2006/relationships/hyperlink" Target="http://expo-max.com/" TargetMode="External"/><Relationship Id="rId103" Type="http://schemas.openxmlformats.org/officeDocument/2006/relationships/hyperlink" Target="https://scribol.com/p/privacy-policy/" TargetMode="External"/><Relationship Id="rId102" Type="http://schemas.openxmlformats.org/officeDocument/2006/relationships/hyperlink" Target="https://www.quantcast.com/privacy/" TargetMode="External"/><Relationship Id="rId101" Type="http://schemas.openxmlformats.org/officeDocument/2006/relationships/hyperlink" Target="https://www.quantcast.com/" TargetMode="External"/><Relationship Id="rId100" Type="http://schemas.openxmlformats.org/officeDocument/2006/relationships/hyperlink" Target="https://www.owneriq.com/privacy-notice" TargetMode="External"/><Relationship Id="rId31" Type="http://schemas.openxmlformats.org/officeDocument/2006/relationships/hyperlink" Target="http://www.crimtan.com/" TargetMode="External"/><Relationship Id="rId30" Type="http://schemas.openxmlformats.org/officeDocument/2006/relationships/hyperlink" Target="https://www.clixtell.com/" TargetMode="External"/><Relationship Id="rId33" Type="http://schemas.openxmlformats.org/officeDocument/2006/relationships/hyperlink" Target="http://www.datranmedia.com/" TargetMode="External"/><Relationship Id="rId32" Type="http://schemas.openxmlformats.org/officeDocument/2006/relationships/hyperlink" Target="https://www.crimtan.com/privacy-policy/" TargetMode="External"/><Relationship Id="rId35" Type="http://schemas.openxmlformats.org/officeDocument/2006/relationships/hyperlink" Target="https://www.datonics.com/" TargetMode="External"/><Relationship Id="rId34" Type="http://schemas.openxmlformats.org/officeDocument/2006/relationships/hyperlink" Target="https://www.pulsepoint.com/legal/platform-privacy-policy" TargetMode="External"/><Relationship Id="rId37" Type="http://schemas.openxmlformats.org/officeDocument/2006/relationships/hyperlink" Target="https://delivr.com/" TargetMode="External"/><Relationship Id="rId36" Type="http://schemas.openxmlformats.org/officeDocument/2006/relationships/hyperlink" Target="https://www.datonics.com/technology-privacy-policy" TargetMode="External"/><Relationship Id="rId39" Type="http://schemas.openxmlformats.org/officeDocument/2006/relationships/hyperlink" Target="https://www.directresponsegroup.com/privacy-policy/" TargetMode="External"/><Relationship Id="rId38" Type="http://schemas.openxmlformats.org/officeDocument/2006/relationships/hyperlink" Target="http://www.directresponsegroup.com/" TargetMode="External"/><Relationship Id="rId20" Type="http://schemas.openxmlformats.org/officeDocument/2006/relationships/hyperlink" Target="http://beachfront.com/" TargetMode="External"/><Relationship Id="rId22" Type="http://schemas.openxmlformats.org/officeDocument/2006/relationships/hyperlink" Target="https://bidmind.com/privacy-policy/" TargetMode="External"/><Relationship Id="rId21" Type="http://schemas.openxmlformats.org/officeDocument/2006/relationships/hyperlink" Target="https://bidmind.com" TargetMode="External"/><Relationship Id="rId24" Type="http://schemas.openxmlformats.org/officeDocument/2006/relationships/hyperlink" Target="https://blockthrough.com/" TargetMode="External"/><Relationship Id="rId23" Type="http://schemas.openxmlformats.org/officeDocument/2006/relationships/hyperlink" Target="http://binlayer.com/" TargetMode="External"/><Relationship Id="rId129" Type="http://schemas.openxmlformats.org/officeDocument/2006/relationships/hyperlink" Target="https://www.healthcentralcorp.com/" TargetMode="External"/><Relationship Id="rId128" Type="http://schemas.openxmlformats.org/officeDocument/2006/relationships/hyperlink" Target="https://vicinity.media/privacy-policy/" TargetMode="External"/><Relationship Id="rId127" Type="http://schemas.openxmlformats.org/officeDocument/2006/relationships/hyperlink" Target="https://vicinity.media/" TargetMode="External"/><Relationship Id="rId126" Type="http://schemas.openxmlformats.org/officeDocument/2006/relationships/hyperlink" Target="http://www.various.com/" TargetMode="External"/><Relationship Id="rId26" Type="http://schemas.openxmlformats.org/officeDocument/2006/relationships/hyperlink" Target="http://www.blogher.com/" TargetMode="External"/><Relationship Id="rId121" Type="http://schemas.openxmlformats.org/officeDocument/2006/relationships/hyperlink" Target="https://trafmag.com/index.php?page=policy" TargetMode="External"/><Relationship Id="rId25" Type="http://schemas.openxmlformats.org/officeDocument/2006/relationships/hyperlink" Target="https://blockthrough.com/privacy-policy/" TargetMode="External"/><Relationship Id="rId120" Type="http://schemas.openxmlformats.org/officeDocument/2006/relationships/hyperlink" Target="http://trafmag.com/" TargetMode="External"/><Relationship Id="rId28" Type="http://schemas.openxmlformats.org/officeDocument/2006/relationships/hyperlink" Target="https://carts.guru/" TargetMode="External"/><Relationship Id="rId27" Type="http://schemas.openxmlformats.org/officeDocument/2006/relationships/hyperlink" Target="https://www.pmc.com/privacy-policy" TargetMode="External"/><Relationship Id="rId125" Type="http://schemas.openxmlformats.org/officeDocument/2006/relationships/hyperlink" Target="https://www.ucfunnel.com/privacy-policy" TargetMode="External"/><Relationship Id="rId29" Type="http://schemas.openxmlformats.org/officeDocument/2006/relationships/hyperlink" Target="https://www.carts.guru/privacy-policy/services-privacy-policy" TargetMode="External"/><Relationship Id="rId124" Type="http://schemas.openxmlformats.org/officeDocument/2006/relationships/hyperlink" Target="https://www.ucfunnel.com/" TargetMode="External"/><Relationship Id="rId123" Type="http://schemas.openxmlformats.org/officeDocument/2006/relationships/hyperlink" Target="https://www.twilio.com/en-us/legal/privacy" TargetMode="External"/><Relationship Id="rId122" Type="http://schemas.openxmlformats.org/officeDocument/2006/relationships/hyperlink" Target="https://twilio.com" TargetMode="External"/><Relationship Id="rId95" Type="http://schemas.openxmlformats.org/officeDocument/2006/relationships/hyperlink" Target="https://onesignal.com/privacy_policy" TargetMode="External"/><Relationship Id="rId94" Type="http://schemas.openxmlformats.org/officeDocument/2006/relationships/hyperlink" Target="https://onesignal.com" TargetMode="External"/><Relationship Id="rId97" Type="http://schemas.openxmlformats.org/officeDocument/2006/relationships/hyperlink" Target="https://optinmonster.com/privacy/" TargetMode="External"/><Relationship Id="rId96" Type="http://schemas.openxmlformats.org/officeDocument/2006/relationships/hyperlink" Target="https://optinmonster.com/" TargetMode="External"/><Relationship Id="rId11" Type="http://schemas.openxmlformats.org/officeDocument/2006/relationships/hyperlink" Target="https://www.adtheorent.com/" TargetMode="External"/><Relationship Id="rId99" Type="http://schemas.openxmlformats.org/officeDocument/2006/relationships/hyperlink" Target="http://optout.owneriq.net/" TargetMode="External"/><Relationship Id="rId10" Type="http://schemas.openxmlformats.org/officeDocument/2006/relationships/hyperlink" Target="https://www.adperfect.com/privacy-policy" TargetMode="External"/><Relationship Id="rId98" Type="http://schemas.openxmlformats.org/officeDocument/2006/relationships/hyperlink" Target="http://www.owneriq.com/" TargetMode="External"/><Relationship Id="rId13" Type="http://schemas.openxmlformats.org/officeDocument/2006/relationships/hyperlink" Target="https://opt-out.adentifi.com/" TargetMode="External"/><Relationship Id="rId12" Type="http://schemas.openxmlformats.org/officeDocument/2006/relationships/hyperlink" Target="https://opt-out.adentifi.com/" TargetMode="External"/><Relationship Id="rId91" Type="http://schemas.openxmlformats.org/officeDocument/2006/relationships/hyperlink" Target="https://www.mythings.com/privacy-policy/" TargetMode="External"/><Relationship Id="rId90" Type="http://schemas.openxmlformats.org/officeDocument/2006/relationships/hyperlink" Target="http://www.mythings.com/" TargetMode="External"/><Relationship Id="rId93" Type="http://schemas.openxmlformats.org/officeDocument/2006/relationships/hyperlink" Target="https://www.createwithnova.com/privacy" TargetMode="External"/><Relationship Id="rId92" Type="http://schemas.openxmlformats.org/officeDocument/2006/relationships/hyperlink" Target="https://www.createwithnova.com/" TargetMode="External"/><Relationship Id="rId118" Type="http://schemas.openxmlformats.org/officeDocument/2006/relationships/hyperlink" Target="http://teads.tv/" TargetMode="External"/><Relationship Id="rId117" Type="http://schemas.openxmlformats.org/officeDocument/2006/relationships/hyperlink" Target="https://www.sunmedia.tv/en/cookies-users/" TargetMode="External"/><Relationship Id="rId116" Type="http://schemas.openxmlformats.org/officeDocument/2006/relationships/hyperlink" Target="https://www.sunmedia.tv/en/" TargetMode="External"/><Relationship Id="rId115" Type="http://schemas.openxmlformats.org/officeDocument/2006/relationships/hyperlink" Target="https://www.strikead.com/privacy-policy/" TargetMode="External"/><Relationship Id="rId119" Type="http://schemas.openxmlformats.org/officeDocument/2006/relationships/hyperlink" Target="https://privacy-policy.teads.com/privacy-policy/us-privacy-notice/" TargetMode="External"/><Relationship Id="rId15" Type="http://schemas.openxmlformats.org/officeDocument/2006/relationships/hyperlink" Target="http://adventive.com/" TargetMode="External"/><Relationship Id="rId110" Type="http://schemas.openxmlformats.org/officeDocument/2006/relationships/hyperlink" Target="https://www.prposting.com" TargetMode="External"/><Relationship Id="rId14" Type="http://schemas.openxmlformats.org/officeDocument/2006/relationships/hyperlink" Target="https://opt-out.adentifi.com/https://www.adtheorent.com/privacy-policy" TargetMode="External"/><Relationship Id="rId17" Type="http://schemas.openxmlformats.org/officeDocument/2006/relationships/hyperlink" Target="https://www.audience2media.com/privacy" TargetMode="External"/><Relationship Id="rId16" Type="http://schemas.openxmlformats.org/officeDocument/2006/relationships/hyperlink" Target="https://www.audience2media.com/" TargetMode="External"/><Relationship Id="rId19" Type="http://schemas.openxmlformats.org/officeDocument/2006/relationships/hyperlink" Target="https://audigent.com/platform-privacy-policy" TargetMode="External"/><Relationship Id="rId114" Type="http://schemas.openxmlformats.org/officeDocument/2006/relationships/hyperlink" Target="https://www.strikead.com/" TargetMode="External"/><Relationship Id="rId18" Type="http://schemas.openxmlformats.org/officeDocument/2006/relationships/hyperlink" Target="https://audigent.com/" TargetMode="External"/><Relationship Id="rId113" Type="http://schemas.openxmlformats.org/officeDocument/2006/relationships/hyperlink" Target="https://www.viantinc.com/privacy-center/" TargetMode="External"/><Relationship Id="rId112" Type="http://schemas.openxmlformats.org/officeDocument/2006/relationships/hyperlink" Target="http://www.specificmedia.com/" TargetMode="External"/><Relationship Id="rId111" Type="http://schemas.openxmlformats.org/officeDocument/2006/relationships/hyperlink" Target="https://prposting.com/privacy-policy.html" TargetMode="External"/><Relationship Id="rId84" Type="http://schemas.openxmlformats.org/officeDocument/2006/relationships/hyperlink" Target="https://www.minutemedia.com/" TargetMode="External"/><Relationship Id="rId83" Type="http://schemas.openxmlformats.org/officeDocument/2006/relationships/hyperlink" Target="https://www.merkle.com/content/merkle/en/privacy-policy/united-states.html" TargetMode="External"/><Relationship Id="rId86" Type="http://schemas.openxmlformats.org/officeDocument/2006/relationships/hyperlink" Target="https://www.mobfox.com/" TargetMode="External"/><Relationship Id="rId85" Type="http://schemas.openxmlformats.org/officeDocument/2006/relationships/hyperlink" Target="https://www.minutemedia.com/policies/privacy-policy" TargetMode="External"/><Relationship Id="rId88" Type="http://schemas.openxmlformats.org/officeDocument/2006/relationships/hyperlink" Target="http://mobilestorm.com/" TargetMode="External"/><Relationship Id="rId87" Type="http://schemas.openxmlformats.org/officeDocument/2006/relationships/hyperlink" Target="https://www.mobfox.com/mobfox-legal" TargetMode="External"/><Relationship Id="rId89" Type="http://schemas.openxmlformats.org/officeDocument/2006/relationships/hyperlink" Target="https://mobilestorm.com/privacy-policy/" TargetMode="External"/><Relationship Id="rId80" Type="http://schemas.openxmlformats.org/officeDocument/2006/relationships/hyperlink" Target="https://www.madisonlogic.com/privacy/" TargetMode="External"/><Relationship Id="rId82" Type="http://schemas.openxmlformats.org/officeDocument/2006/relationships/hyperlink" Target="https://www.merkle.com/" TargetMode="External"/><Relationship Id="rId81" Type="http://schemas.openxmlformats.org/officeDocument/2006/relationships/hyperlink" Target="https://www.mashero.com/" TargetMode="External"/><Relationship Id="rId1" Type="http://schemas.openxmlformats.org/officeDocument/2006/relationships/hyperlink" Target="http://www.activeconversion.com/" TargetMode="External"/><Relationship Id="rId2" Type="http://schemas.openxmlformats.org/officeDocument/2006/relationships/hyperlink" Target="https://adaptmx.com/" TargetMode="External"/><Relationship Id="rId3" Type="http://schemas.openxmlformats.org/officeDocument/2006/relationships/hyperlink" Target="https://adaptmx.com/privacy-policy/" TargetMode="External"/><Relationship Id="rId4" Type="http://schemas.openxmlformats.org/officeDocument/2006/relationships/hyperlink" Target="https://adman.gr/privacy" TargetMode="External"/><Relationship Id="rId9" Type="http://schemas.openxmlformats.org/officeDocument/2006/relationships/hyperlink" Target="https://www.adperfect.com/" TargetMode="External"/><Relationship Id="rId5" Type="http://schemas.openxmlformats.org/officeDocument/2006/relationships/hyperlink" Target="https://adman.gr/privacy" TargetMode="External"/><Relationship Id="rId6" Type="http://schemas.openxmlformats.org/officeDocument/2006/relationships/hyperlink" Target="https://admedia.com/admobile/" TargetMode="External"/><Relationship Id="rId7" Type="http://schemas.openxmlformats.org/officeDocument/2006/relationships/hyperlink" Target="http://www.admedia.com/" TargetMode="External"/><Relationship Id="rId8" Type="http://schemas.openxmlformats.org/officeDocument/2006/relationships/hyperlink" Target="https://admedia.com/privacy/" TargetMode="External"/><Relationship Id="rId73" Type="http://schemas.openxmlformats.org/officeDocument/2006/relationships/hyperlink" Target="https://iprom.eu/files/2022/05/iPROM-Privacy_Policy_GDPR.pdf" TargetMode="External"/><Relationship Id="rId72" Type="http://schemas.openxmlformats.org/officeDocument/2006/relationships/hyperlink" Target="http://www.iprom.si/" TargetMode="External"/><Relationship Id="rId75" Type="http://schemas.openxmlformats.org/officeDocument/2006/relationships/hyperlink" Target="https://www.jellyfish.com/" TargetMode="External"/><Relationship Id="rId74" Type="http://schemas.openxmlformats.org/officeDocument/2006/relationships/hyperlink" Target="https://www.ispot.tv/" TargetMode="External"/><Relationship Id="rId77" Type="http://schemas.openxmlformats.org/officeDocument/2006/relationships/hyperlink" Target="https://keywee.co/" TargetMode="External"/><Relationship Id="rId76" Type="http://schemas.openxmlformats.org/officeDocument/2006/relationships/hyperlink" Target="https://www.jellyfish.com/en-us/privacy-policy/" TargetMode="External"/><Relationship Id="rId79" Type="http://schemas.openxmlformats.org/officeDocument/2006/relationships/hyperlink" Target="https://www.madisonlogic.com/" TargetMode="External"/><Relationship Id="rId78" Type="http://schemas.openxmlformats.org/officeDocument/2006/relationships/hyperlink" Target="https://keywee.co/privacy-policy/" TargetMode="External"/><Relationship Id="rId71" Type="http://schemas.openxmlformats.org/officeDocument/2006/relationships/hyperlink" Target="https://www.interpolls.com/privacy" TargetMode="External"/><Relationship Id="rId70" Type="http://schemas.openxmlformats.org/officeDocument/2006/relationships/hyperlink" Target="http://www.interpolls.com/" TargetMode="External"/><Relationship Id="rId139" Type="http://schemas.openxmlformats.org/officeDocument/2006/relationships/drawing" Target="../drawings/drawing1.xml"/><Relationship Id="rId138" Type="http://schemas.openxmlformats.org/officeDocument/2006/relationships/hyperlink" Target="https://www.yotpo.com/privacy-policy/" TargetMode="External"/><Relationship Id="rId137" Type="http://schemas.openxmlformats.org/officeDocument/2006/relationships/hyperlink" Target="https://www.yotpo.com/privacy-policy/" TargetMode="External"/><Relationship Id="rId132" Type="http://schemas.openxmlformats.org/officeDocument/2006/relationships/hyperlink" Target="https://verve.com/product-privacy-policies/" TargetMode="External"/><Relationship Id="rId131" Type="http://schemas.openxmlformats.org/officeDocument/2006/relationships/hyperlink" Target="https://verve.com/website-privacy-policy/" TargetMode="External"/><Relationship Id="rId130" Type="http://schemas.openxmlformats.org/officeDocument/2006/relationships/hyperlink" Target="https://www.healthcentralcorp.com/privacy-policy" TargetMode="External"/><Relationship Id="rId136" Type="http://schemas.openxmlformats.org/officeDocument/2006/relationships/hyperlink" Target="https://www.buysellads.com/privacy?__hstc=194719090.e52729f3fbabb63a2f4219490c6048c9.1699032619842.1699032619842.1699032619842.1&amp;__hssc=194719090.1.1699032619843&amp;__hsfp=2193239052" TargetMode="External"/><Relationship Id="rId135" Type="http://schemas.openxmlformats.org/officeDocument/2006/relationships/hyperlink" Target="https://www.carbonads.net/" TargetMode="External"/><Relationship Id="rId134" Type="http://schemas.openxmlformats.org/officeDocument/2006/relationships/hyperlink" Target="https://www.yieldify.com/privacy-accessibility/" TargetMode="External"/><Relationship Id="rId133" Type="http://schemas.openxmlformats.org/officeDocument/2006/relationships/hyperlink" Target="https://www.yieldify.com/" TargetMode="External"/><Relationship Id="rId62" Type="http://schemas.openxmlformats.org/officeDocument/2006/relationships/hyperlink" Target="https://gleam.io/privacy" TargetMode="External"/><Relationship Id="rId61" Type="http://schemas.openxmlformats.org/officeDocument/2006/relationships/hyperlink" Target="https://gleam.io/" TargetMode="External"/><Relationship Id="rId64" Type="http://schemas.openxmlformats.org/officeDocument/2006/relationships/hyperlink" Target="https://optout.networkadvertising.org/?c=1" TargetMode="External"/><Relationship Id="rId63" Type="http://schemas.openxmlformats.org/officeDocument/2006/relationships/hyperlink" Target="https://www.indexexchange.com/" TargetMode="External"/><Relationship Id="rId66" Type="http://schemas.openxmlformats.org/officeDocument/2006/relationships/hyperlink" Target="https://www.infinity.co" TargetMode="External"/><Relationship Id="rId65" Type="http://schemas.openxmlformats.org/officeDocument/2006/relationships/hyperlink" Target="https://www.indexexchange.com/privacy/exchange-platform-privacy-policy/" TargetMode="External"/><Relationship Id="rId68" Type="http://schemas.openxmlformats.org/officeDocument/2006/relationships/hyperlink" Target="https://www.infolinks.com/" TargetMode="External"/><Relationship Id="rId67" Type="http://schemas.openxmlformats.org/officeDocument/2006/relationships/hyperlink" Target="https://www.infinity.co/us/privacy-policy" TargetMode="External"/><Relationship Id="rId60" Type="http://schemas.openxmlformats.org/officeDocument/2006/relationships/hyperlink" Target="https://getintent.com/privacy/" TargetMode="External"/><Relationship Id="rId69" Type="http://schemas.openxmlformats.org/officeDocument/2006/relationships/hyperlink" Target="https://www.infolinks.com/privacy-policy/" TargetMode="External"/><Relationship Id="rId51" Type="http://schemas.openxmlformats.org/officeDocument/2006/relationships/hyperlink" Target="https://www.nexstardigital.com/" TargetMode="External"/><Relationship Id="rId50" Type="http://schemas.openxmlformats.org/officeDocument/2006/relationships/hyperlink" Target="http://expo-max.com/privacy/" TargetMode="External"/><Relationship Id="rId53" Type="http://schemas.openxmlformats.org/officeDocument/2006/relationships/hyperlink" Target="http://www.flashtalking.com/" TargetMode="External"/><Relationship Id="rId52" Type="http://schemas.openxmlformats.org/officeDocument/2006/relationships/hyperlink" Target="https://www.nexstar.tv/privacy-policy/" TargetMode="External"/><Relationship Id="rId55" Type="http://schemas.openxmlformats.org/officeDocument/2006/relationships/hyperlink" Target="http://www.freedom.com/" TargetMode="External"/><Relationship Id="rId54" Type="http://schemas.openxmlformats.org/officeDocument/2006/relationships/hyperlink" Target="https://www.flashtalking.com/privacypolicy" TargetMode="External"/><Relationship Id="rId57" Type="http://schemas.openxmlformats.org/officeDocument/2006/relationships/hyperlink" Target="https://www.geoedge.com/" TargetMode="External"/><Relationship Id="rId56" Type="http://schemas.openxmlformats.org/officeDocument/2006/relationships/hyperlink" Target="https://www.freedommortgage.com/disclosures/privacy-policy" TargetMode="External"/><Relationship Id="rId59" Type="http://schemas.openxmlformats.org/officeDocument/2006/relationships/hyperlink" Target="http://getintent.com/" TargetMode="External"/><Relationship Id="rId58" Type="http://schemas.openxmlformats.org/officeDocument/2006/relationships/hyperlink" Target="https://www.geoedge.com/privacy-policy/" TargetMode="External"/></Relationships>
</file>

<file path=xl/worksheets/_rels/sheet2.xml.rels><?xml version="1.0" encoding="UTF-8" standalone="yes"?><Relationships xmlns="http://schemas.openxmlformats.org/package/2006/relationships"><Relationship Id="rId31" Type="http://schemas.openxmlformats.org/officeDocument/2006/relationships/drawing" Target="../drawings/drawing2.xml"/><Relationship Id="rId30" Type="http://schemas.openxmlformats.org/officeDocument/2006/relationships/hyperlink" Target="https://www.zendesk.com/company/agreements-and-terms/privacy-notice/" TargetMode="External"/><Relationship Id="rId20" Type="http://schemas.openxmlformats.org/officeDocument/2006/relationships/hyperlink" Target="https://oewa.at/datenschutz/" TargetMode="External"/><Relationship Id="rId22" Type="http://schemas.openxmlformats.org/officeDocument/2006/relationships/hyperlink" Target="https://wpvip.com/privacy/" TargetMode="External"/><Relationship Id="rId21" Type="http://schemas.openxmlformats.org/officeDocument/2006/relationships/hyperlink" Target="http://parsely.com/" TargetMode="External"/><Relationship Id="rId24" Type="http://schemas.openxmlformats.org/officeDocument/2006/relationships/hyperlink" Target="https://www.quinstreet.com/privacy-notice/" TargetMode="External"/><Relationship Id="rId23" Type="http://schemas.openxmlformats.org/officeDocument/2006/relationships/hyperlink" Target="http://quinstreet.com/" TargetMode="External"/><Relationship Id="rId26" Type="http://schemas.openxmlformats.org/officeDocument/2006/relationships/hyperlink" Target="https://www.revtrax.com/privacy-policy/" TargetMode="External"/><Relationship Id="rId25" Type="http://schemas.openxmlformats.org/officeDocument/2006/relationships/hyperlink" Target="https://www.revtrax.com/" TargetMode="External"/><Relationship Id="rId28" Type="http://schemas.openxmlformats.org/officeDocument/2006/relationships/hyperlink" Target="https://www.tracify.ai/pages/privacy-policy" TargetMode="External"/><Relationship Id="rId27" Type="http://schemas.openxmlformats.org/officeDocument/2006/relationships/hyperlink" Target="https://www.tracify.ai/" TargetMode="External"/><Relationship Id="rId29" Type="http://schemas.openxmlformats.org/officeDocument/2006/relationships/hyperlink" Target="https://www.zendesk.com/?ref=437" TargetMode="External"/><Relationship Id="rId11" Type="http://schemas.openxmlformats.org/officeDocument/2006/relationships/hyperlink" Target="http://extremetracking.com/" TargetMode="External"/><Relationship Id="rId10" Type="http://schemas.openxmlformats.org/officeDocument/2006/relationships/hyperlink" Target="https://www.eff.org/policy" TargetMode="External"/><Relationship Id="rId13" Type="http://schemas.openxmlformats.org/officeDocument/2006/relationships/hyperlink" Target="https://www.hubspot.com/" TargetMode="External"/><Relationship Id="rId12" Type="http://schemas.openxmlformats.org/officeDocument/2006/relationships/hyperlink" Target="https://extremetracking.com/?policy" TargetMode="External"/><Relationship Id="rId15" Type="http://schemas.openxmlformats.org/officeDocument/2006/relationships/hyperlink" Target="https://neilpatel.com/" TargetMode="External"/><Relationship Id="rId14" Type="http://schemas.openxmlformats.org/officeDocument/2006/relationships/hyperlink" Target="https://legal.hubspot.com/legal-stuff" TargetMode="External"/><Relationship Id="rId17" Type="http://schemas.openxmlformats.org/officeDocument/2006/relationships/hyperlink" Target="http://www.liveperson.net/" TargetMode="External"/><Relationship Id="rId16" Type="http://schemas.openxmlformats.org/officeDocument/2006/relationships/hyperlink" Target="https://neilpatel.com/privacy/" TargetMode="External"/><Relationship Id="rId19" Type="http://schemas.openxmlformats.org/officeDocument/2006/relationships/hyperlink" Target="http://www.oewa.at/" TargetMode="External"/><Relationship Id="rId18" Type="http://schemas.openxmlformats.org/officeDocument/2006/relationships/hyperlink" Target="https://www.liveperson.com/policies/privacy" TargetMode="External"/><Relationship Id="rId1" Type="http://schemas.openxmlformats.org/officeDocument/2006/relationships/hyperlink" Target="https://automattic.com/" TargetMode="External"/><Relationship Id="rId2" Type="http://schemas.openxmlformats.org/officeDocument/2006/relationships/hyperlink" Target="https://automattic.com/privacy/" TargetMode="External"/><Relationship Id="rId3" Type="http://schemas.openxmlformats.org/officeDocument/2006/relationships/hyperlink" Target="http://www.blogcounter.de/" TargetMode="External"/><Relationship Id="rId4" Type="http://schemas.openxmlformats.org/officeDocument/2006/relationships/hyperlink" Target="https://www.opensourcecms.com/privacy-policy/" TargetMode="External"/><Relationship Id="rId9" Type="http://schemas.openxmlformats.org/officeDocument/2006/relationships/hyperlink" Target="https://www.eff.org/" TargetMode="External"/><Relationship Id="rId5" Type="http://schemas.openxmlformats.org/officeDocument/2006/relationships/hyperlink" Target="http://www.convert.com/" TargetMode="External"/><Relationship Id="rId6" Type="http://schemas.openxmlformats.org/officeDocument/2006/relationships/hyperlink" Target="https://www.convert.com/privacy-notice/" TargetMode="External"/><Relationship Id="rId7" Type="http://schemas.openxmlformats.org/officeDocument/2006/relationships/hyperlink" Target="https://www.crownpeak.com/" TargetMode="External"/><Relationship Id="rId8" Type="http://schemas.openxmlformats.org/officeDocument/2006/relationships/hyperlink" Target="https://www.crownpeak.com/policies/privacy-policy/"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roq.ad/" TargetMode="External"/><Relationship Id="rId22" Type="http://schemas.openxmlformats.org/officeDocument/2006/relationships/hyperlink" Target="https://www.socital.com" TargetMode="External"/><Relationship Id="rId21" Type="http://schemas.openxmlformats.org/officeDocument/2006/relationships/hyperlink" Target="https://www.roq.ad/white-papers/" TargetMode="External"/><Relationship Id="rId24" Type="http://schemas.openxmlformats.org/officeDocument/2006/relationships/hyperlink" Target="https://www.thetradedesk.com/us" TargetMode="External"/><Relationship Id="rId23" Type="http://schemas.openxmlformats.org/officeDocument/2006/relationships/hyperlink" Target="https://socital.com/privacy/" TargetMode="External"/><Relationship Id="rId26" Type="http://schemas.openxmlformats.org/officeDocument/2006/relationships/hyperlink" Target="https://yieldmo.com/" TargetMode="External"/><Relationship Id="rId25" Type="http://schemas.openxmlformats.org/officeDocument/2006/relationships/hyperlink" Target="https://www.adsrvr.org/" TargetMode="External"/><Relationship Id="rId28" Type="http://schemas.openxmlformats.org/officeDocument/2006/relationships/drawing" Target="../drawings/drawing3.xml"/><Relationship Id="rId27" Type="http://schemas.openxmlformats.org/officeDocument/2006/relationships/hyperlink" Target="https://yieldmo.com/privacy-policy/" TargetMode="External"/><Relationship Id="rId11" Type="http://schemas.openxmlformats.org/officeDocument/2006/relationships/hyperlink" Target="https://www.experian.com/privacy/us-consumer-data-privacy-policy" TargetMode="External"/><Relationship Id="rId10" Type="http://schemas.openxmlformats.org/officeDocument/2006/relationships/hyperlink" Target="http://www.aboutads.info/choices/" TargetMode="External"/><Relationship Id="rId13" Type="http://schemas.openxmlformats.org/officeDocument/2006/relationships/hyperlink" Target="https://www.iubenda.com/privacy-policy/43327124" TargetMode="External"/><Relationship Id="rId12" Type="http://schemas.openxmlformats.org/officeDocument/2006/relationships/hyperlink" Target="https://www.fanplayr.com/legal" TargetMode="External"/><Relationship Id="rId15" Type="http://schemas.openxmlformats.org/officeDocument/2006/relationships/hyperlink" Target="https://policies.google.com/privacy?hl=en&amp;fg=1" TargetMode="External"/><Relationship Id="rId14" Type="http://schemas.openxmlformats.org/officeDocument/2006/relationships/hyperlink" Target="https://www.google.com/" TargetMode="External"/><Relationship Id="rId17" Type="http://schemas.openxmlformats.org/officeDocument/2006/relationships/hyperlink" Target="https://www.justuno.com/legal/privacy-policy/" TargetMode="External"/><Relationship Id="rId16" Type="http://schemas.openxmlformats.org/officeDocument/2006/relationships/hyperlink" Target="https://www.justuno.com/" TargetMode="External"/><Relationship Id="rId19" Type="http://schemas.openxmlformats.org/officeDocument/2006/relationships/hyperlink" Target="https://polen.com.br/termos-de-uso-e-politica-privacidade" TargetMode="External"/><Relationship Id="rId18" Type="http://schemas.openxmlformats.org/officeDocument/2006/relationships/hyperlink" Target="https://polen.com.br/" TargetMode="External"/><Relationship Id="rId1" Type="http://schemas.openxmlformats.org/officeDocument/2006/relationships/hyperlink" Target="https://www.adobe.com/" TargetMode="External"/><Relationship Id="rId2" Type="http://schemas.openxmlformats.org/officeDocument/2006/relationships/hyperlink" Target="https://www.adobe.com/privacy/policy.html" TargetMode="External"/><Relationship Id="rId3" Type="http://schemas.openxmlformats.org/officeDocument/2006/relationships/hyperlink" Target="http://www.avantlink.com/" TargetMode="External"/><Relationship Id="rId4" Type="http://schemas.openxmlformats.org/officeDocument/2006/relationships/hyperlink" Target="https://www.avantlink.com/privacy-policy/" TargetMode="External"/><Relationship Id="rId9" Type="http://schemas.openxmlformats.org/officeDocument/2006/relationships/hyperlink" Target="http://www.experian.com/" TargetMode="External"/><Relationship Id="rId5" Type="http://schemas.openxmlformats.org/officeDocument/2006/relationships/hyperlink" Target="https://consumable.com/" TargetMode="External"/><Relationship Id="rId6" Type="http://schemas.openxmlformats.org/officeDocument/2006/relationships/hyperlink" Target="https://consumable.com/privacy-policy/" TargetMode="External"/><Relationship Id="rId7" Type="http://schemas.openxmlformats.org/officeDocument/2006/relationships/hyperlink" Target="https://doubleverify.com/" TargetMode="External"/><Relationship Id="rId8" Type="http://schemas.openxmlformats.org/officeDocument/2006/relationships/hyperlink" Target="https://doubleverify.com/cookie-notice/"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wideorbit.com/privacy/" TargetMode="External"/><Relationship Id="rId10" Type="http://schemas.openxmlformats.org/officeDocument/2006/relationships/hyperlink" Target="http://www.youronlinechoices.com/" TargetMode="External"/><Relationship Id="rId13" Type="http://schemas.openxmlformats.org/officeDocument/2006/relationships/hyperlink" Target="https://impact.com/" TargetMode="External"/><Relationship Id="rId12" Type="http://schemas.openxmlformats.org/officeDocument/2006/relationships/hyperlink" Target="http://www.clickyab.com" TargetMode="External"/><Relationship Id="rId15" Type="http://schemas.openxmlformats.org/officeDocument/2006/relationships/hyperlink" Target="http://islay.tech" TargetMode="External"/><Relationship Id="rId14" Type="http://schemas.openxmlformats.org/officeDocument/2006/relationships/hyperlink" Target="https://impact.com/privacy-policy/" TargetMode="External"/><Relationship Id="rId17" Type="http://schemas.openxmlformats.org/officeDocument/2006/relationships/hyperlink" Target="https://sendpulse.com/" TargetMode="External"/><Relationship Id="rId16" Type="http://schemas.openxmlformats.org/officeDocument/2006/relationships/hyperlink" Target="https://islay.tech/en/privacy-policy/" TargetMode="External"/><Relationship Id="rId19" Type="http://schemas.openxmlformats.org/officeDocument/2006/relationships/drawing" Target="../drawings/drawing4.xml"/><Relationship Id="rId18" Type="http://schemas.openxmlformats.org/officeDocument/2006/relationships/hyperlink" Target="https://sendpulse.com/legal/pp" TargetMode="External"/><Relationship Id="rId1" Type="http://schemas.openxmlformats.org/officeDocument/2006/relationships/hyperlink" Target="https://fingerprint.com/" TargetMode="External"/><Relationship Id="rId2" Type="http://schemas.openxmlformats.org/officeDocument/2006/relationships/hyperlink" Target="https://dev.fingerprint.com/docs/privacy-policy?_gl=1*h2f0uq*_ga*MjI0MzcwMTc1LjE2OTU2NzkxNDE.*_ga_XVKDT0L5WV*MTY5NTY3OTE0MC4xLjAuMTY5NTY3OTE0NC41Ni4wLjA." TargetMode="External"/><Relationship Id="rId3" Type="http://schemas.openxmlformats.org/officeDocument/2006/relationships/hyperlink" Target="https://hilltopads.com/" TargetMode="External"/><Relationship Id="rId4" Type="http://schemas.openxmlformats.org/officeDocument/2006/relationships/hyperlink" Target="https://hilltopads.com/page/legal" TargetMode="External"/><Relationship Id="rId9" Type="http://schemas.openxmlformats.org/officeDocument/2006/relationships/hyperlink" Target="https://www.wideorbit.com/" TargetMode="External"/><Relationship Id="rId5" Type="http://schemas.openxmlformats.org/officeDocument/2006/relationships/hyperlink" Target="https://www.imachines.com/" TargetMode="External"/><Relationship Id="rId6" Type="http://schemas.openxmlformats.org/officeDocument/2006/relationships/hyperlink" Target="https://www.imachines.com/privacy" TargetMode="External"/><Relationship Id="rId7" Type="http://schemas.openxmlformats.org/officeDocument/2006/relationships/hyperlink" Target="https://www.maxmind.com/en/home" TargetMode="External"/><Relationship Id="rId8" Type="http://schemas.openxmlformats.org/officeDocument/2006/relationships/hyperlink" Target="https://www.maxmind.com/en/privacy-policy"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legal.yahoo.com/us/en/yahoo/privacy/dashboard/index.html" TargetMode="External"/><Relationship Id="rId21" Type="http://schemas.openxmlformats.org/officeDocument/2006/relationships/drawing" Target="../drawings/drawing5.xml"/><Relationship Id="rId11" Type="http://schemas.openxmlformats.org/officeDocument/2006/relationships/hyperlink" Target="http://www.shareaholic.com/" TargetMode="External"/><Relationship Id="rId10" Type="http://schemas.openxmlformats.org/officeDocument/2006/relationships/hyperlink" Target="https://www.reddit.com/en-us/policies/privacy-policy-revision-2023-07-31" TargetMode="External"/><Relationship Id="rId13" Type="http://schemas.openxmlformats.org/officeDocument/2006/relationships/hyperlink" Target="https://sharethis.com/" TargetMode="External"/><Relationship Id="rId12" Type="http://schemas.openxmlformats.org/officeDocument/2006/relationships/hyperlink" Target="https://www.shareaholic.com/privacy/" TargetMode="External"/><Relationship Id="rId15" Type="http://schemas.openxmlformats.org/officeDocument/2006/relationships/hyperlink" Target="http://www.snap.com/" TargetMode="External"/><Relationship Id="rId14" Type="http://schemas.openxmlformats.org/officeDocument/2006/relationships/hyperlink" Target="https://sharethis.com/privacy/" TargetMode="External"/><Relationship Id="rId17" Type="http://schemas.openxmlformats.org/officeDocument/2006/relationships/hyperlink" Target="https://www.tiktok.com/" TargetMode="External"/><Relationship Id="rId16" Type="http://schemas.openxmlformats.org/officeDocument/2006/relationships/hyperlink" Target="https://values.snap.com/privacy/privacy-policy" TargetMode="External"/><Relationship Id="rId19" Type="http://schemas.openxmlformats.org/officeDocument/2006/relationships/hyperlink" Target="http://www.yahoo.com/" TargetMode="External"/><Relationship Id="rId18" Type="http://schemas.openxmlformats.org/officeDocument/2006/relationships/hyperlink" Target="https://www.tiktok.com/legal/page/us/privacy-policy/en" TargetMode="External"/><Relationship Id="rId1" Type="http://schemas.openxmlformats.org/officeDocument/2006/relationships/hyperlink" Target="http://digg.com/" TargetMode="External"/><Relationship Id="rId2" Type="http://schemas.openxmlformats.org/officeDocument/2006/relationships/hyperlink" Target="https://digg.com/privacy" TargetMode="External"/><Relationship Id="rId3" Type="http://schemas.openxmlformats.org/officeDocument/2006/relationships/hyperlink" Target="https://www.facebook.com/" TargetMode="External"/><Relationship Id="rId4" Type="http://schemas.openxmlformats.org/officeDocument/2006/relationships/hyperlink" Target="https://www.facebook.com/privacy/policy" TargetMode="External"/><Relationship Id="rId9" Type="http://schemas.openxmlformats.org/officeDocument/2006/relationships/hyperlink" Target="http://www.reddit.com/" TargetMode="External"/><Relationship Id="rId5" Type="http://schemas.openxmlformats.org/officeDocument/2006/relationships/hyperlink" Target="https://www.microsoft.com/en-us/" TargetMode="External"/><Relationship Id="rId6" Type="http://schemas.openxmlformats.org/officeDocument/2006/relationships/hyperlink" Target="https://go.microsoft.com/fwlink/?LinkID=286759" TargetMode="External"/><Relationship Id="rId7" Type="http://schemas.openxmlformats.org/officeDocument/2006/relationships/hyperlink" Target="http://www.oracle.com/" TargetMode="External"/><Relationship Id="rId8" Type="http://schemas.openxmlformats.org/officeDocument/2006/relationships/hyperlink" Target="https://www.oracle.com/legal/privacy/privacy-choices.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witter.com/" TargetMode="External"/><Relationship Id="rId2" Type="http://schemas.openxmlformats.org/officeDocument/2006/relationships/hyperlink" Target="https://help.x.com/rules-and-policies/twitter-services-and-corporate-affiliates" TargetMode="External"/><Relationship Id="rId3" Type="http://schemas.openxmlformats.org/officeDocument/2006/relationships/hyperlink" Target="https://optout.aboutads.info/"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8"/>
    <col customWidth="1" min="2" max="2" width="26.88"/>
    <col customWidth="1" min="3" max="3" width="15.38"/>
    <col customWidth="1" min="4" max="4" width="15.13"/>
    <col customWidth="1" min="5" max="5" width="17.25"/>
    <col customWidth="1" min="6" max="8" width="15.13"/>
    <col customWidth="1" min="9" max="9" width="34.5"/>
    <col customWidth="1" min="10" max="10" width="15.13"/>
    <col customWidth="1" min="11" max="11" width="34.5"/>
    <col customWidth="1" min="12" max="12" width="17.38"/>
    <col customWidth="1" min="13" max="13" width="34.5"/>
    <col customWidth="1" min="14" max="14" width="16.88"/>
    <col customWidth="1" min="15" max="15" width="34.5"/>
    <col customWidth="1" min="16" max="16" width="15.13"/>
    <col customWidth="1" min="17" max="17" width="34.5"/>
    <col customWidth="1" min="18" max="18" width="15.13"/>
    <col customWidth="1" min="19" max="21" width="34.5"/>
  </cols>
  <sheetData>
    <row r="1" ht="82.5" customHeight="1">
      <c r="A1" s="1" t="s">
        <v>0</v>
      </c>
      <c r="B1" s="1" t="s">
        <v>1</v>
      </c>
      <c r="C1" s="2" t="s">
        <v>2</v>
      </c>
      <c r="D1" s="2" t="s">
        <v>3</v>
      </c>
      <c r="E1" s="3" t="s">
        <v>4</v>
      </c>
      <c r="F1" s="4" t="s">
        <v>5</v>
      </c>
      <c r="G1" s="4" t="s">
        <v>6</v>
      </c>
      <c r="H1" s="5" t="s">
        <v>7</v>
      </c>
      <c r="I1" s="6" t="s">
        <v>8</v>
      </c>
      <c r="J1" s="5" t="s">
        <v>9</v>
      </c>
      <c r="K1" s="6" t="s">
        <v>8</v>
      </c>
      <c r="L1" s="5" t="s">
        <v>10</v>
      </c>
      <c r="M1" s="6" t="s">
        <v>8</v>
      </c>
      <c r="N1" s="5" t="s">
        <v>11</v>
      </c>
      <c r="O1" s="6" t="s">
        <v>8</v>
      </c>
      <c r="P1" s="5" t="s">
        <v>12</v>
      </c>
      <c r="Q1" s="6" t="s">
        <v>8</v>
      </c>
      <c r="R1" s="5" t="s">
        <v>13</v>
      </c>
      <c r="S1" s="6" t="s">
        <v>14</v>
      </c>
      <c r="T1" s="6" t="s">
        <v>8</v>
      </c>
      <c r="U1" s="7" t="s">
        <v>15</v>
      </c>
      <c r="V1" s="8"/>
      <c r="W1" s="8"/>
      <c r="X1" s="8"/>
      <c r="Y1" s="8"/>
      <c r="Z1" s="8"/>
      <c r="AA1" s="8"/>
      <c r="AB1" s="8"/>
      <c r="AC1" s="8"/>
      <c r="AD1" s="8"/>
      <c r="AE1" s="8"/>
      <c r="AF1" s="8"/>
      <c r="AG1" s="8"/>
      <c r="AH1" s="8"/>
      <c r="AI1" s="8"/>
    </row>
    <row r="2">
      <c r="A2" s="9">
        <v>11.0</v>
      </c>
      <c r="B2" s="10" t="s">
        <v>16</v>
      </c>
      <c r="C2" s="11">
        <v>45237.0</v>
      </c>
      <c r="D2" s="12" t="s">
        <v>17</v>
      </c>
      <c r="E2" s="13">
        <v>45529.0</v>
      </c>
      <c r="F2" s="14">
        <v>0.0</v>
      </c>
      <c r="G2" s="15"/>
      <c r="H2" s="16">
        <v>1.0</v>
      </c>
      <c r="I2" s="17" t="s">
        <v>18</v>
      </c>
      <c r="J2" s="16">
        <v>1.0</v>
      </c>
      <c r="K2" s="17" t="s">
        <v>18</v>
      </c>
      <c r="L2" s="16">
        <v>1.0</v>
      </c>
      <c r="M2" s="17" t="s">
        <v>19</v>
      </c>
      <c r="N2" s="16">
        <v>0.0</v>
      </c>
      <c r="O2" s="18"/>
      <c r="P2" s="16">
        <v>1.0</v>
      </c>
      <c r="Q2" s="18"/>
      <c r="R2" s="16">
        <v>0.0</v>
      </c>
      <c r="S2" s="18"/>
      <c r="T2" s="18"/>
      <c r="U2" s="19" t="s">
        <v>20</v>
      </c>
      <c r="V2" s="20"/>
      <c r="W2" s="20"/>
      <c r="X2" s="20"/>
      <c r="Y2" s="20"/>
      <c r="Z2" s="20"/>
      <c r="AA2" s="20"/>
      <c r="AB2" s="20"/>
      <c r="AC2" s="20"/>
      <c r="AD2" s="20"/>
      <c r="AE2" s="20"/>
      <c r="AF2" s="20"/>
      <c r="AG2" s="20"/>
      <c r="AH2" s="20"/>
      <c r="AI2" s="20"/>
    </row>
    <row r="3">
      <c r="A3" s="9">
        <v>22.0</v>
      </c>
      <c r="B3" s="10" t="s">
        <v>21</v>
      </c>
      <c r="C3" s="11">
        <v>45227.0</v>
      </c>
      <c r="D3" s="12" t="s">
        <v>17</v>
      </c>
      <c r="E3" s="13">
        <v>45529.0</v>
      </c>
      <c r="F3" s="14">
        <v>1.0</v>
      </c>
      <c r="G3" s="14" t="s">
        <v>22</v>
      </c>
      <c r="H3" s="16">
        <v>1.0</v>
      </c>
      <c r="I3" s="17" t="s">
        <v>23</v>
      </c>
      <c r="J3" s="16">
        <v>1.0</v>
      </c>
      <c r="K3" s="17" t="s">
        <v>24</v>
      </c>
      <c r="L3" s="16">
        <v>1.0</v>
      </c>
      <c r="M3" s="17" t="s">
        <v>25</v>
      </c>
      <c r="N3" s="16">
        <v>1.0</v>
      </c>
      <c r="O3" s="17" t="s">
        <v>26</v>
      </c>
      <c r="P3" s="16">
        <v>1.0</v>
      </c>
      <c r="Q3" s="18"/>
      <c r="R3" s="16">
        <v>0.0</v>
      </c>
      <c r="S3" s="17" t="s">
        <v>27</v>
      </c>
      <c r="T3" s="18"/>
      <c r="U3" s="21" t="s">
        <v>28</v>
      </c>
      <c r="V3" s="20"/>
      <c r="W3" s="20"/>
      <c r="X3" s="20"/>
      <c r="Y3" s="20"/>
      <c r="Z3" s="20"/>
      <c r="AA3" s="20"/>
      <c r="AB3" s="20"/>
      <c r="AC3" s="20"/>
      <c r="AD3" s="20"/>
      <c r="AE3" s="20"/>
      <c r="AF3" s="20"/>
      <c r="AG3" s="20"/>
      <c r="AH3" s="20"/>
      <c r="AI3" s="20"/>
    </row>
    <row r="4">
      <c r="A4" s="9">
        <v>59.0</v>
      </c>
      <c r="B4" s="22" t="s">
        <v>29</v>
      </c>
      <c r="C4" s="11">
        <v>45228.0</v>
      </c>
      <c r="D4" s="12" t="s">
        <v>30</v>
      </c>
      <c r="E4" s="13">
        <v>45529.0</v>
      </c>
      <c r="F4" s="14">
        <v>0.0</v>
      </c>
      <c r="G4" s="15"/>
      <c r="H4" s="16">
        <v>1.0</v>
      </c>
      <c r="I4" s="17" t="s">
        <v>31</v>
      </c>
      <c r="J4" s="16">
        <v>1.0</v>
      </c>
      <c r="K4" s="17" t="s">
        <v>31</v>
      </c>
      <c r="L4" s="16">
        <v>1.0</v>
      </c>
      <c r="M4" s="17" t="s">
        <v>32</v>
      </c>
      <c r="N4" s="16">
        <v>1.0</v>
      </c>
      <c r="O4" s="18"/>
      <c r="P4" s="16">
        <v>1.0</v>
      </c>
      <c r="Q4" s="18"/>
      <c r="R4" s="16">
        <v>0.0</v>
      </c>
      <c r="S4" s="18"/>
      <c r="T4" s="18"/>
      <c r="U4" s="21" t="s">
        <v>33</v>
      </c>
      <c r="V4" s="20"/>
      <c r="W4" s="20"/>
      <c r="X4" s="20"/>
      <c r="Y4" s="20"/>
      <c r="Z4" s="20"/>
      <c r="AA4" s="20"/>
      <c r="AB4" s="20"/>
      <c r="AC4" s="20"/>
      <c r="AD4" s="20"/>
      <c r="AE4" s="20"/>
      <c r="AF4" s="20"/>
      <c r="AG4" s="20"/>
      <c r="AH4" s="20"/>
      <c r="AI4" s="20"/>
    </row>
    <row r="5">
      <c r="A5" s="23">
        <v>71.0</v>
      </c>
      <c r="B5" s="22" t="s">
        <v>34</v>
      </c>
      <c r="C5" s="24">
        <v>45185.0</v>
      </c>
      <c r="D5" s="12" t="s">
        <v>30</v>
      </c>
      <c r="E5" s="13">
        <v>45529.0</v>
      </c>
      <c r="F5" s="14">
        <v>0.0</v>
      </c>
      <c r="G5" s="15"/>
      <c r="H5" s="16">
        <v>1.0</v>
      </c>
      <c r="I5" s="17" t="s">
        <v>35</v>
      </c>
      <c r="J5" s="16">
        <v>1.0</v>
      </c>
      <c r="K5" s="25" t="s">
        <v>36</v>
      </c>
      <c r="L5" s="16">
        <v>1.0</v>
      </c>
      <c r="M5" s="17" t="s">
        <v>37</v>
      </c>
      <c r="N5" s="16">
        <v>1.0</v>
      </c>
      <c r="O5" s="17" t="s">
        <v>38</v>
      </c>
      <c r="P5" s="16">
        <v>1.0</v>
      </c>
      <c r="Q5" s="17" t="s">
        <v>39</v>
      </c>
      <c r="R5" s="16">
        <v>0.0</v>
      </c>
      <c r="S5" s="17" t="s">
        <v>40</v>
      </c>
      <c r="T5" s="18"/>
      <c r="U5" s="21" t="s">
        <v>41</v>
      </c>
      <c r="V5" s="20"/>
      <c r="W5" s="20"/>
      <c r="X5" s="20"/>
      <c r="Y5" s="20"/>
      <c r="Z5" s="20"/>
      <c r="AA5" s="20"/>
      <c r="AB5" s="20"/>
      <c r="AC5" s="20"/>
      <c r="AD5" s="20"/>
      <c r="AE5" s="20"/>
      <c r="AF5" s="20"/>
      <c r="AG5" s="20"/>
      <c r="AH5" s="20"/>
      <c r="AI5" s="20"/>
    </row>
    <row r="6">
      <c r="A6" s="9">
        <v>88.0</v>
      </c>
      <c r="B6" s="22" t="s">
        <v>42</v>
      </c>
      <c r="C6" s="11">
        <v>45230.0</v>
      </c>
      <c r="D6" s="12" t="s">
        <v>30</v>
      </c>
      <c r="E6" s="13">
        <v>45529.0</v>
      </c>
      <c r="F6" s="14">
        <v>0.0</v>
      </c>
      <c r="G6" s="15"/>
      <c r="H6" s="16">
        <v>1.0</v>
      </c>
      <c r="I6" s="17" t="s">
        <v>43</v>
      </c>
      <c r="J6" s="16">
        <v>1.0</v>
      </c>
      <c r="K6" s="17" t="s">
        <v>44</v>
      </c>
      <c r="L6" s="16">
        <v>1.0</v>
      </c>
      <c r="M6" s="17" t="s">
        <v>45</v>
      </c>
      <c r="N6" s="16">
        <v>0.0</v>
      </c>
      <c r="O6" s="18"/>
      <c r="P6" s="16">
        <v>1.0</v>
      </c>
      <c r="Q6" s="18"/>
      <c r="R6" s="16">
        <v>0.0</v>
      </c>
      <c r="S6" s="18"/>
      <c r="T6" s="18"/>
      <c r="U6" s="21" t="s">
        <v>46</v>
      </c>
      <c r="V6" s="20"/>
      <c r="W6" s="20"/>
      <c r="X6" s="20"/>
      <c r="Y6" s="20"/>
      <c r="Z6" s="20"/>
      <c r="AA6" s="20"/>
      <c r="AB6" s="20"/>
      <c r="AC6" s="20"/>
      <c r="AD6" s="20"/>
      <c r="AE6" s="20"/>
      <c r="AF6" s="20"/>
      <c r="AG6" s="20"/>
      <c r="AH6" s="20"/>
      <c r="AI6" s="20"/>
    </row>
    <row r="7">
      <c r="A7" s="23">
        <v>113.0</v>
      </c>
      <c r="B7" s="10" t="s">
        <v>47</v>
      </c>
      <c r="C7" s="11">
        <v>45184.0</v>
      </c>
      <c r="D7" s="12" t="s">
        <v>30</v>
      </c>
      <c r="E7" s="13">
        <v>45529.0</v>
      </c>
      <c r="F7" s="14">
        <v>0.0</v>
      </c>
      <c r="G7" s="15"/>
      <c r="H7" s="16">
        <v>1.0</v>
      </c>
      <c r="I7" s="17" t="s">
        <v>48</v>
      </c>
      <c r="J7" s="16">
        <v>1.0</v>
      </c>
      <c r="K7" s="17" t="s">
        <v>49</v>
      </c>
      <c r="L7" s="16">
        <v>1.0</v>
      </c>
      <c r="M7" s="17" t="s">
        <v>50</v>
      </c>
      <c r="N7" s="16">
        <v>1.0</v>
      </c>
      <c r="O7" s="25" t="s">
        <v>51</v>
      </c>
      <c r="P7" s="16">
        <v>1.0</v>
      </c>
      <c r="Q7" s="17" t="s">
        <v>39</v>
      </c>
      <c r="R7" s="16">
        <v>1.0</v>
      </c>
      <c r="S7" s="17" t="s">
        <v>52</v>
      </c>
      <c r="T7" s="26" t="s">
        <v>53</v>
      </c>
      <c r="U7" s="21" t="s">
        <v>54</v>
      </c>
      <c r="V7" s="20"/>
      <c r="W7" s="20"/>
      <c r="X7" s="20"/>
      <c r="Y7" s="20"/>
      <c r="Z7" s="20"/>
      <c r="AA7" s="20"/>
      <c r="AB7" s="20"/>
      <c r="AC7" s="20"/>
      <c r="AD7" s="20"/>
      <c r="AE7" s="20"/>
      <c r="AF7" s="20"/>
      <c r="AG7" s="20"/>
      <c r="AH7" s="20"/>
      <c r="AI7" s="20"/>
    </row>
    <row r="8">
      <c r="A8" s="23">
        <v>121.0</v>
      </c>
      <c r="B8" s="10" t="s">
        <v>55</v>
      </c>
      <c r="C8" s="11">
        <v>45188.0</v>
      </c>
      <c r="D8" s="12" t="s">
        <v>17</v>
      </c>
      <c r="E8" s="13">
        <v>45529.0</v>
      </c>
      <c r="F8" s="14">
        <v>0.0</v>
      </c>
      <c r="G8" s="15"/>
      <c r="H8" s="16">
        <v>1.0</v>
      </c>
      <c r="I8" s="17" t="s">
        <v>56</v>
      </c>
      <c r="J8" s="16">
        <v>1.0</v>
      </c>
      <c r="K8" s="17" t="s">
        <v>57</v>
      </c>
      <c r="L8" s="16">
        <v>0.0</v>
      </c>
      <c r="M8" s="17" t="s">
        <v>58</v>
      </c>
      <c r="N8" s="16">
        <v>1.0</v>
      </c>
      <c r="O8" s="17" t="s">
        <v>59</v>
      </c>
      <c r="P8" s="16">
        <v>1.0</v>
      </c>
      <c r="Q8" s="17" t="s">
        <v>60</v>
      </c>
      <c r="R8" s="16">
        <v>0.0</v>
      </c>
      <c r="S8" s="18"/>
      <c r="T8" s="18"/>
      <c r="U8" s="27" t="s">
        <v>61</v>
      </c>
      <c r="V8" s="20"/>
      <c r="W8" s="20"/>
      <c r="X8" s="20"/>
      <c r="Y8" s="20"/>
      <c r="Z8" s="20"/>
      <c r="AA8" s="20"/>
      <c r="AB8" s="20"/>
      <c r="AC8" s="20"/>
      <c r="AD8" s="20"/>
      <c r="AE8" s="20"/>
      <c r="AF8" s="20"/>
      <c r="AG8" s="20"/>
      <c r="AH8" s="20"/>
      <c r="AI8" s="20"/>
    </row>
    <row r="9">
      <c r="A9" s="9">
        <v>182.0</v>
      </c>
      <c r="B9" s="22" t="s">
        <v>62</v>
      </c>
      <c r="C9" s="24">
        <v>45233.0</v>
      </c>
      <c r="D9" s="12" t="s">
        <v>30</v>
      </c>
      <c r="E9" s="13">
        <v>45529.0</v>
      </c>
      <c r="F9" s="14">
        <v>0.0</v>
      </c>
      <c r="G9" s="15"/>
      <c r="H9" s="16">
        <v>1.0</v>
      </c>
      <c r="I9" s="17" t="s">
        <v>63</v>
      </c>
      <c r="J9" s="16">
        <v>1.0</v>
      </c>
      <c r="K9" s="17" t="s">
        <v>64</v>
      </c>
      <c r="L9" s="16">
        <v>1.0</v>
      </c>
      <c r="M9" s="17" t="s">
        <v>65</v>
      </c>
      <c r="N9" s="16">
        <v>1.0</v>
      </c>
      <c r="O9" s="18"/>
      <c r="P9" s="16">
        <v>1.0</v>
      </c>
      <c r="Q9" s="18"/>
      <c r="R9" s="16">
        <v>0.0</v>
      </c>
      <c r="S9" s="18"/>
      <c r="T9" s="18"/>
      <c r="U9" s="28" t="s">
        <v>66</v>
      </c>
      <c r="V9" s="20"/>
      <c r="W9" s="20"/>
      <c r="X9" s="20"/>
      <c r="Y9" s="20"/>
      <c r="Z9" s="20"/>
      <c r="AA9" s="20"/>
      <c r="AB9" s="20"/>
      <c r="AC9" s="20"/>
      <c r="AD9" s="20"/>
      <c r="AE9" s="20"/>
      <c r="AF9" s="20"/>
      <c r="AG9" s="20"/>
      <c r="AH9" s="20"/>
      <c r="AI9" s="20"/>
    </row>
    <row r="10">
      <c r="A10" s="9">
        <v>184.0</v>
      </c>
      <c r="B10" s="22" t="s">
        <v>67</v>
      </c>
      <c r="C10" s="11">
        <v>45228.0</v>
      </c>
      <c r="D10" s="12" t="s">
        <v>17</v>
      </c>
      <c r="E10" s="13">
        <v>45529.0</v>
      </c>
      <c r="F10" s="14">
        <v>0.0</v>
      </c>
      <c r="G10" s="15"/>
      <c r="H10" s="16">
        <v>1.0</v>
      </c>
      <c r="I10" s="17" t="s">
        <v>68</v>
      </c>
      <c r="J10" s="16">
        <v>1.0</v>
      </c>
      <c r="K10" s="17" t="s">
        <v>69</v>
      </c>
      <c r="L10" s="16">
        <v>1.0</v>
      </c>
      <c r="M10" s="17" t="s">
        <v>70</v>
      </c>
      <c r="N10" s="16">
        <v>1.0</v>
      </c>
      <c r="O10" s="17" t="s">
        <v>71</v>
      </c>
      <c r="P10" s="16">
        <v>1.0</v>
      </c>
      <c r="Q10" s="18"/>
      <c r="R10" s="16">
        <v>1.0</v>
      </c>
      <c r="S10" s="17" t="s">
        <v>72</v>
      </c>
      <c r="T10" s="18"/>
      <c r="U10" s="21" t="s">
        <v>73</v>
      </c>
      <c r="V10" s="20"/>
      <c r="W10" s="20"/>
      <c r="X10" s="20"/>
      <c r="Y10" s="20"/>
      <c r="Z10" s="20"/>
      <c r="AA10" s="20"/>
      <c r="AB10" s="20"/>
      <c r="AC10" s="20"/>
      <c r="AD10" s="20"/>
      <c r="AE10" s="20"/>
      <c r="AF10" s="20"/>
      <c r="AG10" s="20"/>
      <c r="AH10" s="20"/>
      <c r="AI10" s="20"/>
    </row>
    <row r="11">
      <c r="A11" s="9">
        <v>205.0</v>
      </c>
      <c r="B11" s="22" t="s">
        <v>74</v>
      </c>
      <c r="C11" s="11">
        <v>45225.0</v>
      </c>
      <c r="D11" s="12" t="s">
        <v>30</v>
      </c>
      <c r="E11" s="13">
        <v>45529.0</v>
      </c>
      <c r="F11" s="14">
        <v>0.0</v>
      </c>
      <c r="G11" s="15"/>
      <c r="H11" s="16">
        <v>1.0</v>
      </c>
      <c r="I11" s="17" t="s">
        <v>75</v>
      </c>
      <c r="J11" s="16">
        <v>0.0</v>
      </c>
      <c r="K11" s="18"/>
      <c r="L11" s="16">
        <v>1.0</v>
      </c>
      <c r="M11" s="17" t="s">
        <v>76</v>
      </c>
      <c r="N11" s="16">
        <v>1.0</v>
      </c>
      <c r="O11" s="18"/>
      <c r="P11" s="16">
        <v>1.0</v>
      </c>
      <c r="Q11" s="18"/>
      <c r="R11" s="16">
        <v>0.0</v>
      </c>
      <c r="S11" s="18"/>
      <c r="T11" s="18"/>
      <c r="U11" s="27" t="s">
        <v>77</v>
      </c>
      <c r="V11" s="20"/>
      <c r="W11" s="20"/>
      <c r="X11" s="20"/>
      <c r="Y11" s="20"/>
      <c r="Z11" s="20"/>
      <c r="AA11" s="20"/>
      <c r="AB11" s="20"/>
      <c r="AC11" s="20"/>
      <c r="AD11" s="20"/>
      <c r="AE11" s="20"/>
      <c r="AF11" s="20"/>
      <c r="AG11" s="20"/>
      <c r="AH11" s="20"/>
      <c r="AI11" s="20"/>
    </row>
    <row r="12">
      <c r="A12" s="23">
        <v>213.0</v>
      </c>
      <c r="B12" s="10" t="s">
        <v>78</v>
      </c>
      <c r="C12" s="11">
        <v>45188.0</v>
      </c>
      <c r="D12" s="12" t="s">
        <v>17</v>
      </c>
      <c r="E12" s="13">
        <v>45529.0</v>
      </c>
      <c r="F12" s="14">
        <v>0.0</v>
      </c>
      <c r="G12" s="15"/>
      <c r="H12" s="16">
        <v>1.0</v>
      </c>
      <c r="I12" s="17" t="s">
        <v>79</v>
      </c>
      <c r="J12" s="16">
        <v>1.0</v>
      </c>
      <c r="K12" s="17" t="s">
        <v>80</v>
      </c>
      <c r="L12" s="16">
        <v>1.0</v>
      </c>
      <c r="M12" s="17" t="s">
        <v>81</v>
      </c>
      <c r="N12" s="16">
        <v>1.0</v>
      </c>
      <c r="O12" s="17" t="s">
        <v>82</v>
      </c>
      <c r="P12" s="16">
        <v>1.0</v>
      </c>
      <c r="Q12" s="17" t="s">
        <v>60</v>
      </c>
      <c r="R12" s="16">
        <v>0.0</v>
      </c>
      <c r="S12" s="17" t="s">
        <v>83</v>
      </c>
      <c r="T12" s="18"/>
      <c r="U12" s="28" t="s">
        <v>84</v>
      </c>
      <c r="V12" s="20"/>
      <c r="W12" s="20"/>
      <c r="X12" s="20"/>
      <c r="Y12" s="20"/>
      <c r="Z12" s="20"/>
      <c r="AA12" s="20"/>
      <c r="AB12" s="20"/>
      <c r="AC12" s="20"/>
      <c r="AD12" s="20"/>
      <c r="AE12" s="20"/>
      <c r="AF12" s="20"/>
      <c r="AG12" s="20"/>
      <c r="AH12" s="20"/>
      <c r="AI12" s="20"/>
    </row>
    <row r="13">
      <c r="A13" s="23">
        <v>218.0</v>
      </c>
      <c r="B13" s="22" t="s">
        <v>85</v>
      </c>
      <c r="C13" s="11">
        <v>45213.0</v>
      </c>
      <c r="D13" s="12" t="s">
        <v>30</v>
      </c>
      <c r="E13" s="13">
        <v>45529.0</v>
      </c>
      <c r="F13" s="14">
        <v>0.0</v>
      </c>
      <c r="G13" s="15"/>
      <c r="H13" s="16">
        <v>1.0</v>
      </c>
      <c r="I13" s="17" t="s">
        <v>86</v>
      </c>
      <c r="J13" s="16">
        <v>1.0</v>
      </c>
      <c r="K13" s="17" t="s">
        <v>87</v>
      </c>
      <c r="L13" s="16">
        <v>1.0</v>
      </c>
      <c r="M13" s="17" t="s">
        <v>88</v>
      </c>
      <c r="N13" s="16">
        <v>0.0</v>
      </c>
      <c r="O13" s="18"/>
      <c r="P13" s="16">
        <v>1.0</v>
      </c>
      <c r="Q13" s="18"/>
      <c r="R13" s="16">
        <v>0.0</v>
      </c>
      <c r="S13" s="18"/>
      <c r="T13" s="18"/>
      <c r="U13" s="29" t="s">
        <v>89</v>
      </c>
      <c r="V13" s="20"/>
      <c r="W13" s="20"/>
      <c r="X13" s="20"/>
      <c r="Y13" s="20"/>
      <c r="Z13" s="20"/>
      <c r="AA13" s="20"/>
      <c r="AB13" s="20"/>
      <c r="AC13" s="20"/>
      <c r="AD13" s="20"/>
      <c r="AE13" s="20"/>
      <c r="AF13" s="20"/>
      <c r="AG13" s="20"/>
      <c r="AH13" s="20"/>
      <c r="AI13" s="20"/>
    </row>
    <row r="14">
      <c r="A14" s="9">
        <v>227.0</v>
      </c>
      <c r="B14" s="10" t="s">
        <v>90</v>
      </c>
      <c r="C14" s="11">
        <v>45230.0</v>
      </c>
      <c r="D14" s="12" t="s">
        <v>30</v>
      </c>
      <c r="E14" s="13">
        <v>45529.0</v>
      </c>
      <c r="F14" s="14">
        <v>0.0</v>
      </c>
      <c r="G14" s="15"/>
      <c r="H14" s="16">
        <v>1.0</v>
      </c>
      <c r="I14" s="17" t="s">
        <v>91</v>
      </c>
      <c r="J14" s="16">
        <v>1.0</v>
      </c>
      <c r="K14" s="17" t="s">
        <v>92</v>
      </c>
      <c r="L14" s="16">
        <v>0.0</v>
      </c>
      <c r="M14" s="17" t="s">
        <v>93</v>
      </c>
      <c r="N14" s="16">
        <v>0.0</v>
      </c>
      <c r="O14" s="18"/>
      <c r="P14" s="16">
        <v>1.0</v>
      </c>
      <c r="Q14" s="18"/>
      <c r="R14" s="16">
        <v>0.0</v>
      </c>
      <c r="S14" s="18"/>
      <c r="T14" s="18"/>
      <c r="U14" s="21" t="s">
        <v>94</v>
      </c>
      <c r="V14" s="20"/>
      <c r="W14" s="20"/>
      <c r="X14" s="20"/>
      <c r="Y14" s="20"/>
      <c r="Z14" s="20"/>
      <c r="AA14" s="20"/>
      <c r="AB14" s="20"/>
      <c r="AC14" s="20"/>
      <c r="AD14" s="20"/>
      <c r="AE14" s="20"/>
      <c r="AF14" s="20"/>
      <c r="AG14" s="20"/>
      <c r="AH14" s="20"/>
      <c r="AI14" s="20"/>
    </row>
    <row r="15">
      <c r="A15" s="23">
        <v>228.0</v>
      </c>
      <c r="B15" s="22" t="s">
        <v>95</v>
      </c>
      <c r="C15" s="11">
        <v>45188.0</v>
      </c>
      <c r="D15" s="12" t="s">
        <v>17</v>
      </c>
      <c r="E15" s="13">
        <v>45529.0</v>
      </c>
      <c r="F15" s="14">
        <v>0.0</v>
      </c>
      <c r="G15" s="14"/>
      <c r="H15" s="16">
        <v>0.0</v>
      </c>
      <c r="I15" s="17"/>
      <c r="J15" s="16">
        <v>1.0</v>
      </c>
      <c r="K15" s="17" t="s">
        <v>96</v>
      </c>
      <c r="L15" s="16">
        <v>1.0</v>
      </c>
      <c r="M15" s="17" t="s">
        <v>97</v>
      </c>
      <c r="N15" s="16">
        <v>1.0</v>
      </c>
      <c r="O15" s="17" t="s">
        <v>98</v>
      </c>
      <c r="P15" s="16">
        <v>1.0</v>
      </c>
      <c r="Q15" s="17" t="s">
        <v>60</v>
      </c>
      <c r="R15" s="16">
        <v>0.0</v>
      </c>
      <c r="S15" s="18"/>
      <c r="T15" s="18"/>
      <c r="U15" s="28" t="s">
        <v>99</v>
      </c>
      <c r="V15" s="20"/>
      <c r="W15" s="20"/>
      <c r="X15" s="20"/>
      <c r="Y15" s="20"/>
      <c r="Z15" s="20"/>
      <c r="AA15" s="20"/>
      <c r="AB15" s="20"/>
      <c r="AC15" s="20"/>
      <c r="AD15" s="20"/>
      <c r="AE15" s="20"/>
      <c r="AF15" s="20"/>
      <c r="AG15" s="20"/>
      <c r="AH15" s="20"/>
      <c r="AI15" s="20"/>
    </row>
    <row r="16">
      <c r="A16" s="23">
        <v>265.0</v>
      </c>
      <c r="B16" s="10" t="s">
        <v>100</v>
      </c>
      <c r="C16" s="11">
        <v>45188.0</v>
      </c>
      <c r="D16" s="12" t="s">
        <v>17</v>
      </c>
      <c r="E16" s="13">
        <v>45529.0</v>
      </c>
      <c r="F16" s="14">
        <v>1.0</v>
      </c>
      <c r="G16" s="14" t="s">
        <v>22</v>
      </c>
      <c r="H16" s="16">
        <v>1.0</v>
      </c>
      <c r="I16" s="17" t="s">
        <v>101</v>
      </c>
      <c r="J16" s="16">
        <v>1.0</v>
      </c>
      <c r="K16" s="17" t="s">
        <v>102</v>
      </c>
      <c r="L16" s="16">
        <v>1.0</v>
      </c>
      <c r="M16" s="17" t="s">
        <v>103</v>
      </c>
      <c r="N16" s="16">
        <v>1.0</v>
      </c>
      <c r="O16" s="17" t="s">
        <v>104</v>
      </c>
      <c r="P16" s="16">
        <v>1.0</v>
      </c>
      <c r="Q16" s="17" t="s">
        <v>60</v>
      </c>
      <c r="R16" s="16">
        <v>0.0</v>
      </c>
      <c r="S16" s="17"/>
      <c r="T16" s="17" t="s">
        <v>105</v>
      </c>
      <c r="U16" s="21" t="s">
        <v>106</v>
      </c>
      <c r="V16" s="20"/>
      <c r="W16" s="20"/>
      <c r="X16" s="20"/>
      <c r="Y16" s="20"/>
      <c r="Z16" s="20"/>
      <c r="AA16" s="20"/>
      <c r="AB16" s="20"/>
      <c r="AC16" s="20"/>
      <c r="AD16" s="20"/>
      <c r="AE16" s="20"/>
      <c r="AF16" s="20"/>
      <c r="AG16" s="20"/>
      <c r="AH16" s="20"/>
      <c r="AI16" s="20"/>
    </row>
    <row r="17">
      <c r="A17" s="9">
        <v>295.0</v>
      </c>
      <c r="B17" s="10" t="s">
        <v>107</v>
      </c>
      <c r="C17" s="11">
        <v>45233.0</v>
      </c>
      <c r="D17" s="12" t="s">
        <v>17</v>
      </c>
      <c r="E17" s="13">
        <v>45529.0</v>
      </c>
      <c r="F17" s="14">
        <v>1.0</v>
      </c>
      <c r="G17" s="14" t="s">
        <v>22</v>
      </c>
      <c r="H17" s="16">
        <v>1.0</v>
      </c>
      <c r="I17" s="17" t="s">
        <v>108</v>
      </c>
      <c r="J17" s="16">
        <v>1.0</v>
      </c>
      <c r="K17" s="17" t="s">
        <v>109</v>
      </c>
      <c r="L17" s="16">
        <v>1.0</v>
      </c>
      <c r="M17" s="17" t="s">
        <v>110</v>
      </c>
      <c r="N17" s="16">
        <v>0.0</v>
      </c>
      <c r="O17" s="18"/>
      <c r="P17" s="16">
        <v>1.0</v>
      </c>
      <c r="Q17" s="18"/>
      <c r="R17" s="16">
        <v>0.0</v>
      </c>
      <c r="S17" s="18"/>
      <c r="T17" s="18"/>
      <c r="U17" s="19" t="s">
        <v>111</v>
      </c>
      <c r="V17" s="20"/>
      <c r="W17" s="20"/>
      <c r="X17" s="20"/>
      <c r="Y17" s="20"/>
      <c r="Z17" s="20"/>
      <c r="AA17" s="20"/>
      <c r="AB17" s="20"/>
      <c r="AC17" s="20"/>
      <c r="AD17" s="20"/>
      <c r="AE17" s="20"/>
      <c r="AF17" s="20"/>
      <c r="AG17" s="20"/>
      <c r="AH17" s="20"/>
      <c r="AI17" s="20"/>
    </row>
    <row r="18">
      <c r="A18" s="23">
        <v>328.0</v>
      </c>
      <c r="B18" s="22" t="s">
        <v>112</v>
      </c>
      <c r="C18" s="11">
        <v>45188.0</v>
      </c>
      <c r="D18" s="12" t="s">
        <v>17</v>
      </c>
      <c r="E18" s="13">
        <v>45529.0</v>
      </c>
      <c r="F18" s="14">
        <v>0.0</v>
      </c>
      <c r="G18" s="15"/>
      <c r="H18" s="16">
        <v>1.0</v>
      </c>
      <c r="I18" s="17" t="s">
        <v>113</v>
      </c>
      <c r="J18" s="16">
        <v>1.0</v>
      </c>
      <c r="K18" s="17" t="s">
        <v>114</v>
      </c>
      <c r="L18" s="16">
        <v>1.0</v>
      </c>
      <c r="M18" s="17" t="s">
        <v>115</v>
      </c>
      <c r="N18" s="16">
        <v>1.0</v>
      </c>
      <c r="O18" s="17" t="s">
        <v>116</v>
      </c>
      <c r="P18" s="16">
        <v>1.0</v>
      </c>
      <c r="Q18" s="17" t="s">
        <v>60</v>
      </c>
      <c r="R18" s="16">
        <v>0.0</v>
      </c>
      <c r="S18" s="17" t="s">
        <v>117</v>
      </c>
      <c r="T18" s="18"/>
      <c r="U18" s="21" t="s">
        <v>118</v>
      </c>
      <c r="V18" s="20"/>
      <c r="W18" s="20"/>
      <c r="X18" s="20"/>
      <c r="Y18" s="20"/>
      <c r="Z18" s="20"/>
      <c r="AA18" s="20"/>
      <c r="AB18" s="20"/>
      <c r="AC18" s="20"/>
      <c r="AD18" s="20"/>
      <c r="AE18" s="20"/>
      <c r="AF18" s="20"/>
      <c r="AG18" s="20"/>
      <c r="AH18" s="20"/>
      <c r="AI18" s="20"/>
    </row>
    <row r="19">
      <c r="A19" s="23">
        <v>340.0</v>
      </c>
      <c r="B19" s="22" t="s">
        <v>119</v>
      </c>
      <c r="C19" s="11">
        <v>45188.0</v>
      </c>
      <c r="D19" s="12" t="s">
        <v>17</v>
      </c>
      <c r="E19" s="13">
        <v>45529.0</v>
      </c>
      <c r="F19" s="14">
        <v>0.0</v>
      </c>
      <c r="G19" s="15"/>
      <c r="H19" s="16">
        <v>1.0</v>
      </c>
      <c r="I19" s="17" t="s">
        <v>120</v>
      </c>
      <c r="J19" s="16">
        <v>1.0</v>
      </c>
      <c r="K19" s="17" t="s">
        <v>121</v>
      </c>
      <c r="L19" s="16">
        <v>1.0</v>
      </c>
      <c r="M19" s="17" t="s">
        <v>122</v>
      </c>
      <c r="N19" s="16">
        <v>1.0</v>
      </c>
      <c r="O19" s="17" t="s">
        <v>123</v>
      </c>
      <c r="P19" s="16">
        <v>1.0</v>
      </c>
      <c r="Q19" s="17" t="s">
        <v>60</v>
      </c>
      <c r="R19" s="16">
        <v>1.0</v>
      </c>
      <c r="S19" s="17" t="s">
        <v>124</v>
      </c>
      <c r="T19" s="17" t="s">
        <v>125</v>
      </c>
      <c r="U19" s="21" t="s">
        <v>126</v>
      </c>
      <c r="V19" s="20"/>
      <c r="W19" s="20"/>
      <c r="X19" s="20"/>
      <c r="Y19" s="20"/>
      <c r="Z19" s="20"/>
      <c r="AA19" s="20"/>
      <c r="AB19" s="20"/>
      <c r="AC19" s="20"/>
      <c r="AD19" s="20"/>
      <c r="AE19" s="20"/>
      <c r="AF19" s="20"/>
      <c r="AG19" s="20"/>
      <c r="AH19" s="20"/>
      <c r="AI19" s="20"/>
    </row>
    <row r="20">
      <c r="A20" s="9">
        <v>341.0</v>
      </c>
      <c r="B20" s="22" t="s">
        <v>127</v>
      </c>
      <c r="C20" s="24">
        <v>45233.0</v>
      </c>
      <c r="D20" s="12" t="s">
        <v>30</v>
      </c>
      <c r="E20" s="13">
        <v>45529.0</v>
      </c>
      <c r="F20" s="14">
        <v>0.0</v>
      </c>
      <c r="G20" s="15"/>
      <c r="H20" s="16">
        <v>1.0</v>
      </c>
      <c r="I20" s="17" t="s">
        <v>128</v>
      </c>
      <c r="J20" s="16">
        <v>1.0</v>
      </c>
      <c r="K20" s="17" t="s">
        <v>129</v>
      </c>
      <c r="L20" s="16">
        <v>1.0</v>
      </c>
      <c r="M20" s="17" t="s">
        <v>130</v>
      </c>
      <c r="N20" s="16">
        <v>1.0</v>
      </c>
      <c r="O20" s="18"/>
      <c r="P20" s="16">
        <v>1.0</v>
      </c>
      <c r="Q20" s="18"/>
      <c r="R20" s="16">
        <v>0.0</v>
      </c>
      <c r="S20" s="18"/>
      <c r="T20" s="18"/>
      <c r="U20" s="28" t="s">
        <v>131</v>
      </c>
      <c r="V20" s="20"/>
      <c r="W20" s="20"/>
      <c r="X20" s="20"/>
      <c r="Y20" s="20"/>
      <c r="Z20" s="20"/>
      <c r="AA20" s="20"/>
      <c r="AB20" s="20"/>
      <c r="AC20" s="20"/>
      <c r="AD20" s="20"/>
      <c r="AE20" s="20"/>
      <c r="AF20" s="20"/>
      <c r="AG20" s="20"/>
      <c r="AH20" s="20"/>
      <c r="AI20" s="20"/>
    </row>
    <row r="21">
      <c r="A21" s="9">
        <v>348.0</v>
      </c>
      <c r="B21" s="22" t="s">
        <v>132</v>
      </c>
      <c r="C21" s="24">
        <v>45233.0</v>
      </c>
      <c r="D21" s="12" t="s">
        <v>30</v>
      </c>
      <c r="E21" s="13">
        <v>45529.0</v>
      </c>
      <c r="F21" s="14">
        <v>0.0</v>
      </c>
      <c r="G21" s="15"/>
      <c r="H21" s="16">
        <v>1.0</v>
      </c>
      <c r="I21" s="17" t="s">
        <v>133</v>
      </c>
      <c r="J21" s="16">
        <v>0.0</v>
      </c>
      <c r="K21" s="18"/>
      <c r="L21" s="16">
        <v>0.0</v>
      </c>
      <c r="M21" s="17" t="s">
        <v>134</v>
      </c>
      <c r="N21" s="16">
        <v>0.0</v>
      </c>
      <c r="O21" s="18"/>
      <c r="P21" s="16">
        <v>1.0</v>
      </c>
      <c r="Q21" s="18"/>
      <c r="R21" s="16">
        <v>0.0</v>
      </c>
      <c r="S21" s="18"/>
      <c r="T21" s="18"/>
      <c r="U21" s="27" t="s">
        <v>135</v>
      </c>
      <c r="V21" s="20"/>
      <c r="W21" s="20"/>
      <c r="X21" s="20"/>
      <c r="Y21" s="20"/>
      <c r="Z21" s="20"/>
      <c r="AA21" s="20"/>
      <c r="AB21" s="20"/>
      <c r="AC21" s="20"/>
      <c r="AD21" s="20"/>
      <c r="AE21" s="20"/>
      <c r="AF21" s="20"/>
      <c r="AG21" s="20"/>
      <c r="AH21" s="20"/>
      <c r="AI21" s="20"/>
    </row>
    <row r="22">
      <c r="A22" s="9">
        <v>362.0</v>
      </c>
      <c r="B22" s="22" t="s">
        <v>136</v>
      </c>
      <c r="C22" s="11">
        <v>45228.0</v>
      </c>
      <c r="D22" s="12" t="s">
        <v>17</v>
      </c>
      <c r="E22" s="13">
        <v>45529.0</v>
      </c>
      <c r="F22" s="14">
        <v>0.0</v>
      </c>
      <c r="G22" s="15"/>
      <c r="H22" s="16">
        <v>1.0</v>
      </c>
      <c r="I22" s="17" t="s">
        <v>137</v>
      </c>
      <c r="J22" s="16">
        <v>1.0</v>
      </c>
      <c r="K22" s="17" t="s">
        <v>138</v>
      </c>
      <c r="L22" s="16">
        <v>1.0</v>
      </c>
      <c r="M22" s="17" t="s">
        <v>139</v>
      </c>
      <c r="N22" s="16">
        <v>0.0</v>
      </c>
      <c r="O22" s="17" t="s">
        <v>140</v>
      </c>
      <c r="P22" s="16">
        <v>1.0</v>
      </c>
      <c r="Q22" s="18"/>
      <c r="R22" s="16">
        <v>0.0</v>
      </c>
      <c r="S22" s="18"/>
      <c r="T22" s="18"/>
      <c r="U22" s="21" t="s">
        <v>141</v>
      </c>
      <c r="V22" s="20"/>
      <c r="W22" s="20"/>
      <c r="X22" s="20"/>
      <c r="Y22" s="20"/>
      <c r="Z22" s="20"/>
      <c r="AA22" s="20"/>
      <c r="AB22" s="20"/>
      <c r="AC22" s="20"/>
      <c r="AD22" s="20"/>
      <c r="AE22" s="20"/>
      <c r="AF22" s="20"/>
      <c r="AG22" s="20"/>
      <c r="AH22" s="20"/>
      <c r="AI22" s="20"/>
    </row>
    <row r="23">
      <c r="A23" s="23">
        <v>368.0</v>
      </c>
      <c r="B23" s="22" t="s">
        <v>142</v>
      </c>
      <c r="C23" s="24">
        <v>45186.0</v>
      </c>
      <c r="D23" s="12" t="s">
        <v>30</v>
      </c>
      <c r="E23" s="13">
        <v>45529.0</v>
      </c>
      <c r="F23" s="14">
        <v>0.0</v>
      </c>
      <c r="G23" s="15"/>
      <c r="H23" s="16">
        <v>1.0</v>
      </c>
      <c r="I23" s="17" t="s">
        <v>143</v>
      </c>
      <c r="J23" s="16">
        <v>0.0</v>
      </c>
      <c r="K23" s="17"/>
      <c r="L23" s="16">
        <v>1.0</v>
      </c>
      <c r="M23" s="17" t="s">
        <v>144</v>
      </c>
      <c r="N23" s="16">
        <v>1.0</v>
      </c>
      <c r="O23" s="17" t="s">
        <v>145</v>
      </c>
      <c r="P23" s="16">
        <v>1.0</v>
      </c>
      <c r="Q23" s="17" t="s">
        <v>60</v>
      </c>
      <c r="R23" s="16">
        <v>0.0</v>
      </c>
      <c r="S23" s="18"/>
      <c r="T23" s="18"/>
      <c r="U23" s="21" t="s">
        <v>146</v>
      </c>
      <c r="V23" s="20"/>
      <c r="W23" s="20"/>
      <c r="X23" s="20"/>
      <c r="Y23" s="20"/>
      <c r="Z23" s="20"/>
      <c r="AA23" s="20"/>
      <c r="AB23" s="20"/>
      <c r="AC23" s="20"/>
      <c r="AD23" s="20"/>
      <c r="AE23" s="20"/>
      <c r="AF23" s="20"/>
      <c r="AG23" s="20"/>
      <c r="AH23" s="20"/>
      <c r="AI23" s="20"/>
    </row>
    <row r="24">
      <c r="A24" s="23">
        <v>372.0</v>
      </c>
      <c r="B24" s="10" t="s">
        <v>147</v>
      </c>
      <c r="C24" s="11">
        <v>45215.0</v>
      </c>
      <c r="D24" s="12" t="s">
        <v>30</v>
      </c>
      <c r="E24" s="13">
        <v>45529.0</v>
      </c>
      <c r="F24" s="14">
        <v>1.0</v>
      </c>
      <c r="G24" s="14" t="s">
        <v>148</v>
      </c>
      <c r="H24" s="16">
        <v>0.0</v>
      </c>
      <c r="I24" s="18"/>
      <c r="J24" s="16">
        <v>1.0</v>
      </c>
      <c r="K24" s="17" t="s">
        <v>149</v>
      </c>
      <c r="L24" s="16">
        <v>1.0</v>
      </c>
      <c r="M24" s="17" t="s">
        <v>150</v>
      </c>
      <c r="N24" s="16">
        <v>1.0</v>
      </c>
      <c r="O24" s="25" t="s">
        <v>151</v>
      </c>
      <c r="P24" s="16">
        <v>1.0</v>
      </c>
      <c r="Q24" s="18"/>
      <c r="R24" s="16">
        <v>0.0</v>
      </c>
      <c r="S24" s="17" t="s">
        <v>152</v>
      </c>
      <c r="T24" s="18"/>
      <c r="U24" s="21" t="s">
        <v>153</v>
      </c>
      <c r="V24" s="20"/>
      <c r="W24" s="20"/>
      <c r="X24" s="20"/>
      <c r="Y24" s="20"/>
      <c r="Z24" s="20"/>
      <c r="AA24" s="20"/>
      <c r="AB24" s="20"/>
      <c r="AC24" s="20"/>
      <c r="AD24" s="20"/>
      <c r="AE24" s="20"/>
      <c r="AF24" s="20"/>
      <c r="AG24" s="20"/>
      <c r="AH24" s="20"/>
      <c r="AI24" s="20"/>
    </row>
    <row r="25">
      <c r="A25" s="9">
        <v>378.0</v>
      </c>
      <c r="B25" s="10" t="s">
        <v>154</v>
      </c>
      <c r="C25" s="11">
        <v>45228.0</v>
      </c>
      <c r="D25" s="12" t="s">
        <v>17</v>
      </c>
      <c r="E25" s="13">
        <v>45529.0</v>
      </c>
      <c r="F25" s="14">
        <v>1.0</v>
      </c>
      <c r="G25" s="14" t="s">
        <v>155</v>
      </c>
      <c r="H25" s="16">
        <v>1.0</v>
      </c>
      <c r="I25" s="17" t="s">
        <v>156</v>
      </c>
      <c r="J25" s="16">
        <v>1.0</v>
      </c>
      <c r="K25" s="17" t="s">
        <v>157</v>
      </c>
      <c r="L25" s="16">
        <v>1.0</v>
      </c>
      <c r="M25" s="17" t="s">
        <v>158</v>
      </c>
      <c r="N25" s="16">
        <v>1.0</v>
      </c>
      <c r="O25" s="17" t="s">
        <v>159</v>
      </c>
      <c r="P25" s="16">
        <v>1.0</v>
      </c>
      <c r="Q25" s="18"/>
      <c r="R25" s="16">
        <v>1.0</v>
      </c>
      <c r="S25" s="17" t="s">
        <v>160</v>
      </c>
      <c r="T25" s="18"/>
      <c r="U25" s="21" t="s">
        <v>161</v>
      </c>
      <c r="V25" s="20"/>
      <c r="W25" s="20"/>
      <c r="X25" s="20"/>
      <c r="Y25" s="20"/>
      <c r="Z25" s="20"/>
      <c r="AA25" s="20"/>
      <c r="AB25" s="20"/>
      <c r="AC25" s="20"/>
      <c r="AD25" s="20"/>
      <c r="AE25" s="20"/>
      <c r="AF25" s="20"/>
      <c r="AG25" s="20"/>
      <c r="AH25" s="20"/>
      <c r="AI25" s="20"/>
    </row>
    <row r="26">
      <c r="A26" s="9">
        <v>399.0</v>
      </c>
      <c r="B26" s="10" t="s">
        <v>162</v>
      </c>
      <c r="C26" s="11">
        <v>45237.0</v>
      </c>
      <c r="D26" s="12" t="s">
        <v>17</v>
      </c>
      <c r="E26" s="13">
        <v>45660.0</v>
      </c>
      <c r="F26" s="14">
        <v>0.0</v>
      </c>
      <c r="G26" s="15"/>
      <c r="H26" s="16">
        <v>1.0</v>
      </c>
      <c r="I26" s="17" t="s">
        <v>163</v>
      </c>
      <c r="J26" s="16">
        <v>1.0</v>
      </c>
      <c r="K26" s="17" t="s">
        <v>164</v>
      </c>
      <c r="L26" s="16">
        <v>1.0</v>
      </c>
      <c r="M26" s="17" t="s">
        <v>165</v>
      </c>
      <c r="N26" s="16">
        <v>0.0</v>
      </c>
      <c r="O26" s="17" t="s">
        <v>166</v>
      </c>
      <c r="P26" s="16">
        <v>1.0</v>
      </c>
      <c r="Q26" s="18"/>
      <c r="R26" s="16">
        <v>0.0</v>
      </c>
      <c r="S26" s="18"/>
      <c r="T26" s="18"/>
      <c r="U26" s="21" t="s">
        <v>167</v>
      </c>
      <c r="V26" s="20"/>
      <c r="W26" s="20"/>
      <c r="X26" s="20"/>
      <c r="Y26" s="20"/>
      <c r="Z26" s="20"/>
      <c r="AA26" s="20"/>
      <c r="AB26" s="20"/>
      <c r="AC26" s="20"/>
      <c r="AD26" s="20"/>
      <c r="AE26" s="20"/>
      <c r="AF26" s="20"/>
      <c r="AG26" s="20"/>
      <c r="AH26" s="20"/>
      <c r="AI26" s="20"/>
    </row>
    <row r="27">
      <c r="A27" s="9">
        <v>411.0</v>
      </c>
      <c r="B27" s="10" t="s">
        <v>168</v>
      </c>
      <c r="C27" s="24">
        <v>45233.0</v>
      </c>
      <c r="D27" s="12" t="s">
        <v>30</v>
      </c>
      <c r="E27" s="13">
        <v>45660.0</v>
      </c>
      <c r="F27" s="14">
        <v>0.0</v>
      </c>
      <c r="G27" s="15"/>
      <c r="H27" s="16">
        <v>1.0</v>
      </c>
      <c r="I27" s="17" t="s">
        <v>169</v>
      </c>
      <c r="J27" s="16">
        <v>1.0</v>
      </c>
      <c r="K27" s="17" t="s">
        <v>170</v>
      </c>
      <c r="L27" s="16">
        <v>1.0</v>
      </c>
      <c r="M27" s="17" t="s">
        <v>171</v>
      </c>
      <c r="N27" s="16">
        <v>0.0</v>
      </c>
      <c r="O27" s="18"/>
      <c r="P27" s="16">
        <v>1.0</v>
      </c>
      <c r="Q27" s="18"/>
      <c r="R27" s="16">
        <v>0.0</v>
      </c>
      <c r="S27" s="18"/>
      <c r="T27" s="18"/>
      <c r="U27" s="28" t="s">
        <v>172</v>
      </c>
      <c r="V27" s="20"/>
      <c r="W27" s="20"/>
      <c r="X27" s="20"/>
      <c r="Y27" s="20"/>
      <c r="Z27" s="20"/>
      <c r="AA27" s="20"/>
      <c r="AB27" s="20"/>
      <c r="AC27" s="20"/>
      <c r="AD27" s="20"/>
      <c r="AE27" s="20"/>
      <c r="AF27" s="20"/>
      <c r="AG27" s="20"/>
      <c r="AH27" s="20"/>
      <c r="AI27" s="20"/>
    </row>
    <row r="28">
      <c r="A28" s="9">
        <v>423.0</v>
      </c>
      <c r="B28" s="10" t="s">
        <v>173</v>
      </c>
      <c r="C28" s="24">
        <v>45233.0</v>
      </c>
      <c r="D28" s="12" t="s">
        <v>30</v>
      </c>
      <c r="E28" s="13">
        <v>45660.0</v>
      </c>
      <c r="F28" s="14">
        <v>0.0</v>
      </c>
      <c r="G28" s="15"/>
      <c r="H28" s="16">
        <v>1.0</v>
      </c>
      <c r="I28" s="17" t="s">
        <v>174</v>
      </c>
      <c r="J28" s="16">
        <v>1.0</v>
      </c>
      <c r="K28" s="17" t="s">
        <v>175</v>
      </c>
      <c r="L28" s="16">
        <v>1.0</v>
      </c>
      <c r="M28" s="17" t="s">
        <v>176</v>
      </c>
      <c r="N28" s="16">
        <v>1.0</v>
      </c>
      <c r="O28" s="18"/>
      <c r="P28" s="16">
        <v>1.0</v>
      </c>
      <c r="Q28" s="18"/>
      <c r="R28" s="16">
        <v>0.0</v>
      </c>
      <c r="S28" s="18"/>
      <c r="T28" s="18"/>
      <c r="U28" s="28" t="s">
        <v>177</v>
      </c>
      <c r="V28" s="20"/>
      <c r="W28" s="20"/>
      <c r="X28" s="20"/>
      <c r="Y28" s="20"/>
      <c r="Z28" s="20"/>
      <c r="AA28" s="20"/>
      <c r="AB28" s="20"/>
      <c r="AC28" s="20"/>
      <c r="AD28" s="20"/>
      <c r="AE28" s="20"/>
      <c r="AF28" s="20"/>
      <c r="AG28" s="20"/>
      <c r="AH28" s="20"/>
      <c r="AI28" s="20"/>
    </row>
    <row r="29">
      <c r="A29" s="9">
        <v>427.0</v>
      </c>
      <c r="B29" s="10" t="s">
        <v>178</v>
      </c>
      <c r="C29" s="11">
        <v>45237.0</v>
      </c>
      <c r="D29" s="12" t="s">
        <v>17</v>
      </c>
      <c r="E29" s="13">
        <v>45660.0</v>
      </c>
      <c r="F29" s="14">
        <v>1.0</v>
      </c>
      <c r="G29" s="14" t="s">
        <v>148</v>
      </c>
      <c r="H29" s="16">
        <v>1.0</v>
      </c>
      <c r="I29" s="17" t="s">
        <v>179</v>
      </c>
      <c r="J29" s="16">
        <v>1.0</v>
      </c>
      <c r="K29" s="17" t="s">
        <v>180</v>
      </c>
      <c r="L29" s="16">
        <v>1.0</v>
      </c>
      <c r="M29" s="17" t="s">
        <v>181</v>
      </c>
      <c r="N29" s="16">
        <v>1.0</v>
      </c>
      <c r="O29" s="17" t="s">
        <v>182</v>
      </c>
      <c r="P29" s="16">
        <v>1.0</v>
      </c>
      <c r="Q29" s="18"/>
      <c r="R29" s="16">
        <v>0.0</v>
      </c>
      <c r="S29" s="17" t="s">
        <v>183</v>
      </c>
      <c r="T29" s="17" t="s">
        <v>184</v>
      </c>
      <c r="U29" s="21" t="s">
        <v>185</v>
      </c>
      <c r="V29" s="20"/>
      <c r="W29" s="20"/>
      <c r="X29" s="20"/>
      <c r="Y29" s="20"/>
      <c r="Z29" s="20"/>
      <c r="AA29" s="20"/>
      <c r="AB29" s="20"/>
      <c r="AC29" s="20"/>
      <c r="AD29" s="20"/>
      <c r="AE29" s="20"/>
      <c r="AF29" s="20"/>
      <c r="AG29" s="20"/>
      <c r="AH29" s="20"/>
      <c r="AI29" s="20"/>
    </row>
    <row r="30">
      <c r="A30" s="9">
        <v>439.0</v>
      </c>
      <c r="B30" s="10" t="s">
        <v>186</v>
      </c>
      <c r="C30" s="11">
        <v>45223.0</v>
      </c>
      <c r="D30" s="12" t="s">
        <v>17</v>
      </c>
      <c r="E30" s="13">
        <v>45660.0</v>
      </c>
      <c r="F30" s="14">
        <v>0.0</v>
      </c>
      <c r="G30" s="15"/>
      <c r="H30" s="16">
        <v>1.0</v>
      </c>
      <c r="I30" s="17" t="s">
        <v>187</v>
      </c>
      <c r="J30" s="16">
        <v>1.0</v>
      </c>
      <c r="K30" s="17" t="s">
        <v>188</v>
      </c>
      <c r="L30" s="16">
        <v>1.0</v>
      </c>
      <c r="M30" s="17" t="s">
        <v>189</v>
      </c>
      <c r="N30" s="16">
        <v>1.0</v>
      </c>
      <c r="O30" s="17" t="s">
        <v>190</v>
      </c>
      <c r="P30" s="16">
        <v>1.0</v>
      </c>
      <c r="Q30" s="18"/>
      <c r="R30" s="16">
        <v>0.0</v>
      </c>
      <c r="S30" s="18"/>
      <c r="T30" s="18"/>
      <c r="U30" s="21" t="s">
        <v>191</v>
      </c>
      <c r="V30" s="20"/>
      <c r="W30" s="20"/>
      <c r="X30" s="20"/>
      <c r="Y30" s="20"/>
      <c r="Z30" s="20"/>
      <c r="AA30" s="20"/>
      <c r="AB30" s="20"/>
      <c r="AC30" s="20"/>
      <c r="AD30" s="20"/>
      <c r="AE30" s="20"/>
      <c r="AF30" s="20"/>
      <c r="AG30" s="20"/>
      <c r="AH30" s="20"/>
      <c r="AI30" s="20"/>
    </row>
    <row r="31">
      <c r="A31" s="9">
        <v>458.0</v>
      </c>
      <c r="B31" s="10" t="s">
        <v>192</v>
      </c>
      <c r="C31" s="11">
        <v>45225.0</v>
      </c>
      <c r="D31" s="12" t="s">
        <v>30</v>
      </c>
      <c r="E31" s="13">
        <v>45660.0</v>
      </c>
      <c r="F31" s="14">
        <v>0.0</v>
      </c>
      <c r="G31" s="15"/>
      <c r="H31" s="16">
        <v>1.0</v>
      </c>
      <c r="I31" s="17" t="s">
        <v>193</v>
      </c>
      <c r="J31" s="16">
        <v>1.0</v>
      </c>
      <c r="K31" s="17" t="s">
        <v>194</v>
      </c>
      <c r="L31" s="16">
        <v>1.0</v>
      </c>
      <c r="M31" s="17" t="s">
        <v>195</v>
      </c>
      <c r="N31" s="16">
        <v>0.0</v>
      </c>
      <c r="O31" s="18"/>
      <c r="P31" s="16">
        <v>1.0</v>
      </c>
      <c r="Q31" s="18"/>
      <c r="R31" s="16">
        <v>0.0</v>
      </c>
      <c r="S31" s="18"/>
      <c r="T31" s="18"/>
      <c r="U31" s="28" t="s">
        <v>196</v>
      </c>
      <c r="V31" s="20"/>
      <c r="W31" s="20"/>
      <c r="X31" s="20"/>
      <c r="Y31" s="20"/>
      <c r="Z31" s="20"/>
      <c r="AA31" s="20"/>
      <c r="AB31" s="20"/>
      <c r="AC31" s="20"/>
      <c r="AD31" s="20"/>
      <c r="AE31" s="20"/>
      <c r="AF31" s="20"/>
      <c r="AG31" s="20"/>
      <c r="AH31" s="20"/>
      <c r="AI31" s="20"/>
    </row>
    <row r="32">
      <c r="A32" s="9">
        <v>459.0</v>
      </c>
      <c r="B32" s="10" t="s">
        <v>197</v>
      </c>
      <c r="C32" s="11">
        <v>45222.0</v>
      </c>
      <c r="D32" s="12" t="s">
        <v>17</v>
      </c>
      <c r="E32" s="13">
        <v>45660.0</v>
      </c>
      <c r="F32" s="14">
        <v>0.0</v>
      </c>
      <c r="G32" s="15"/>
      <c r="H32" s="16">
        <v>1.0</v>
      </c>
      <c r="I32" s="17" t="s">
        <v>198</v>
      </c>
      <c r="J32" s="16">
        <v>1.0</v>
      </c>
      <c r="K32" s="17" t="s">
        <v>199</v>
      </c>
      <c r="L32" s="16">
        <v>1.0</v>
      </c>
      <c r="M32" s="17" t="s">
        <v>200</v>
      </c>
      <c r="N32" s="16">
        <v>1.0</v>
      </c>
      <c r="O32" s="17" t="s">
        <v>201</v>
      </c>
      <c r="P32" s="16">
        <v>1.0</v>
      </c>
      <c r="Q32" s="18"/>
      <c r="R32" s="16">
        <v>1.0</v>
      </c>
      <c r="S32" s="17" t="s">
        <v>202</v>
      </c>
      <c r="T32" s="17" t="s">
        <v>203</v>
      </c>
      <c r="U32" s="28" t="s">
        <v>204</v>
      </c>
      <c r="V32" s="20"/>
      <c r="W32" s="20"/>
      <c r="X32" s="20"/>
      <c r="Y32" s="20"/>
      <c r="Z32" s="20"/>
      <c r="AA32" s="20"/>
      <c r="AB32" s="20"/>
      <c r="AC32" s="20"/>
      <c r="AD32" s="20"/>
      <c r="AE32" s="20"/>
      <c r="AF32" s="20"/>
      <c r="AG32" s="20"/>
      <c r="AH32" s="20"/>
      <c r="AI32" s="20"/>
    </row>
    <row r="33">
      <c r="A33" s="9">
        <v>462.0</v>
      </c>
      <c r="B33" s="10" t="s">
        <v>205</v>
      </c>
      <c r="C33" s="11">
        <v>45228.0</v>
      </c>
      <c r="D33" s="12" t="s">
        <v>17</v>
      </c>
      <c r="E33" s="13">
        <v>45660.0</v>
      </c>
      <c r="F33" s="14">
        <v>1.0</v>
      </c>
      <c r="G33" s="14" t="s">
        <v>22</v>
      </c>
      <c r="H33" s="16">
        <v>1.0</v>
      </c>
      <c r="I33" s="17" t="s">
        <v>206</v>
      </c>
      <c r="J33" s="16">
        <v>0.0</v>
      </c>
      <c r="K33" s="17" t="s">
        <v>207</v>
      </c>
      <c r="L33" s="16">
        <v>1.0</v>
      </c>
      <c r="M33" s="17" t="s">
        <v>208</v>
      </c>
      <c r="N33" s="16">
        <v>0.0</v>
      </c>
      <c r="O33" s="18"/>
      <c r="P33" s="16">
        <v>0.0</v>
      </c>
      <c r="Q33" s="18"/>
      <c r="R33" s="16">
        <v>0.0</v>
      </c>
      <c r="S33" s="18"/>
      <c r="T33" s="18"/>
      <c r="U33" s="21" t="s">
        <v>209</v>
      </c>
      <c r="V33" s="20"/>
      <c r="W33" s="20"/>
      <c r="X33" s="20"/>
      <c r="Y33" s="20"/>
      <c r="Z33" s="20"/>
      <c r="AA33" s="20"/>
      <c r="AB33" s="20"/>
      <c r="AC33" s="20"/>
      <c r="AD33" s="20"/>
      <c r="AE33" s="20"/>
      <c r="AF33" s="20"/>
      <c r="AG33" s="20"/>
      <c r="AH33" s="20"/>
      <c r="AI33" s="20"/>
    </row>
    <row r="34">
      <c r="A34" s="23">
        <v>505.0</v>
      </c>
      <c r="B34" s="10" t="s">
        <v>210</v>
      </c>
      <c r="C34" s="30"/>
      <c r="D34" s="12" t="s">
        <v>17</v>
      </c>
      <c r="E34" s="13">
        <v>45660.0</v>
      </c>
      <c r="F34" s="14">
        <v>0.0</v>
      </c>
      <c r="G34" s="15"/>
      <c r="H34" s="16">
        <v>1.0</v>
      </c>
      <c r="I34" s="17" t="s">
        <v>211</v>
      </c>
      <c r="J34" s="16">
        <v>1.0</v>
      </c>
      <c r="K34" s="17" t="s">
        <v>212</v>
      </c>
      <c r="L34" s="16">
        <v>1.0</v>
      </c>
      <c r="M34" s="17" t="s">
        <v>213</v>
      </c>
      <c r="N34" s="16">
        <v>1.0</v>
      </c>
      <c r="O34" s="17" t="s">
        <v>214</v>
      </c>
      <c r="P34" s="16">
        <v>1.0</v>
      </c>
      <c r="Q34" s="17" t="s">
        <v>215</v>
      </c>
      <c r="R34" s="16">
        <v>1.0</v>
      </c>
      <c r="S34" s="26" t="s">
        <v>216</v>
      </c>
      <c r="T34" s="18"/>
      <c r="U34" s="28" t="s">
        <v>217</v>
      </c>
      <c r="V34" s="20"/>
      <c r="W34" s="20"/>
      <c r="X34" s="20"/>
      <c r="Y34" s="20"/>
      <c r="Z34" s="20"/>
      <c r="AA34" s="20"/>
      <c r="AB34" s="20"/>
      <c r="AC34" s="20"/>
      <c r="AD34" s="20"/>
      <c r="AE34" s="20"/>
      <c r="AF34" s="20"/>
      <c r="AG34" s="20"/>
      <c r="AH34" s="20"/>
      <c r="AI34" s="20"/>
    </row>
    <row r="35">
      <c r="A35" s="23">
        <v>507.0</v>
      </c>
      <c r="B35" s="10" t="s">
        <v>218</v>
      </c>
      <c r="C35" s="24">
        <v>45186.0</v>
      </c>
      <c r="D35" s="12" t="s">
        <v>30</v>
      </c>
      <c r="E35" s="13">
        <v>45660.0</v>
      </c>
      <c r="F35" s="14">
        <v>0.0</v>
      </c>
      <c r="G35" s="15"/>
      <c r="H35" s="16">
        <v>0.0</v>
      </c>
      <c r="I35" s="17"/>
      <c r="J35" s="16">
        <v>0.0</v>
      </c>
      <c r="K35" s="17"/>
      <c r="L35" s="16">
        <v>1.0</v>
      </c>
      <c r="M35" s="17" t="s">
        <v>219</v>
      </c>
      <c r="N35" s="16">
        <v>0.0</v>
      </c>
      <c r="O35" s="17" t="s">
        <v>220</v>
      </c>
      <c r="P35" s="16">
        <v>0.0</v>
      </c>
      <c r="Q35" s="18"/>
      <c r="R35" s="16">
        <v>0.0</v>
      </c>
      <c r="S35" s="18"/>
      <c r="T35" s="17" t="s">
        <v>221</v>
      </c>
      <c r="U35" s="21" t="s">
        <v>222</v>
      </c>
      <c r="V35" s="20"/>
      <c r="W35" s="20"/>
      <c r="X35" s="20"/>
      <c r="Y35" s="20"/>
      <c r="Z35" s="20"/>
      <c r="AA35" s="20"/>
      <c r="AB35" s="20"/>
      <c r="AC35" s="20"/>
      <c r="AD35" s="20"/>
      <c r="AE35" s="20"/>
      <c r="AF35" s="20"/>
      <c r="AG35" s="20"/>
      <c r="AH35" s="20"/>
      <c r="AI35" s="20"/>
    </row>
    <row r="36">
      <c r="A36" s="9">
        <v>513.0</v>
      </c>
      <c r="B36" s="22" t="s">
        <v>223</v>
      </c>
      <c r="C36" s="11">
        <v>45230.0</v>
      </c>
      <c r="D36" s="12" t="s">
        <v>30</v>
      </c>
      <c r="E36" s="13">
        <v>45660.0</v>
      </c>
      <c r="F36" s="14">
        <v>1.0</v>
      </c>
      <c r="G36" s="14" t="s">
        <v>224</v>
      </c>
      <c r="H36" s="16">
        <v>1.0</v>
      </c>
      <c r="I36" s="17" t="s">
        <v>225</v>
      </c>
      <c r="J36" s="16">
        <v>1.0</v>
      </c>
      <c r="K36" s="17" t="s">
        <v>226</v>
      </c>
      <c r="L36" s="16">
        <v>1.0</v>
      </c>
      <c r="M36" s="17" t="s">
        <v>227</v>
      </c>
      <c r="N36" s="16">
        <v>0.0</v>
      </c>
      <c r="O36" s="18"/>
      <c r="P36" s="16">
        <v>1.0</v>
      </c>
      <c r="Q36" s="18"/>
      <c r="R36" s="16">
        <v>0.0</v>
      </c>
      <c r="S36" s="18"/>
      <c r="T36" s="18"/>
      <c r="U36" s="28" t="s">
        <v>228</v>
      </c>
      <c r="V36" s="20"/>
      <c r="W36" s="20"/>
      <c r="X36" s="20"/>
      <c r="Y36" s="20"/>
      <c r="Z36" s="20"/>
      <c r="AA36" s="20"/>
      <c r="AB36" s="20"/>
      <c r="AC36" s="20"/>
      <c r="AD36" s="20"/>
      <c r="AE36" s="20"/>
      <c r="AF36" s="20"/>
      <c r="AG36" s="20"/>
      <c r="AH36" s="20"/>
      <c r="AI36" s="20"/>
    </row>
    <row r="37">
      <c r="A37" s="9">
        <v>527.0</v>
      </c>
      <c r="B37" s="10" t="s">
        <v>229</v>
      </c>
      <c r="C37" s="11">
        <v>45237.0</v>
      </c>
      <c r="D37" s="12" t="s">
        <v>17</v>
      </c>
      <c r="E37" s="13">
        <v>45660.0</v>
      </c>
      <c r="F37" s="14">
        <v>0.0</v>
      </c>
      <c r="G37" s="15"/>
      <c r="H37" s="16">
        <v>1.0</v>
      </c>
      <c r="I37" s="17" t="s">
        <v>230</v>
      </c>
      <c r="J37" s="16">
        <v>1.0</v>
      </c>
      <c r="K37" s="17" t="s">
        <v>231</v>
      </c>
      <c r="L37" s="16">
        <v>0.0</v>
      </c>
      <c r="M37" s="17" t="s">
        <v>232</v>
      </c>
      <c r="N37" s="16">
        <v>1.0</v>
      </c>
      <c r="O37" s="17" t="s">
        <v>233</v>
      </c>
      <c r="P37" s="16">
        <v>1.0</v>
      </c>
      <c r="Q37" s="18"/>
      <c r="R37" s="16">
        <v>1.0</v>
      </c>
      <c r="S37" s="17" t="s">
        <v>234</v>
      </c>
      <c r="T37" s="18"/>
      <c r="U37" s="21" t="s">
        <v>235</v>
      </c>
      <c r="V37" s="20"/>
      <c r="W37" s="20"/>
      <c r="X37" s="20"/>
      <c r="Y37" s="20"/>
      <c r="Z37" s="20"/>
      <c r="AA37" s="20"/>
      <c r="AB37" s="20"/>
      <c r="AC37" s="20"/>
      <c r="AD37" s="20"/>
      <c r="AE37" s="20"/>
      <c r="AF37" s="20"/>
      <c r="AG37" s="20"/>
      <c r="AH37" s="20"/>
      <c r="AI37" s="20"/>
    </row>
    <row r="38">
      <c r="A38" s="23">
        <v>534.0</v>
      </c>
      <c r="B38" s="10" t="s">
        <v>236</v>
      </c>
      <c r="C38" s="11">
        <v>45188.0</v>
      </c>
      <c r="D38" s="12" t="s">
        <v>17</v>
      </c>
      <c r="E38" s="13">
        <v>45660.0</v>
      </c>
      <c r="F38" s="14">
        <v>0.0</v>
      </c>
      <c r="G38" s="15"/>
      <c r="H38" s="16">
        <v>1.0</v>
      </c>
      <c r="I38" s="17" t="s">
        <v>237</v>
      </c>
      <c r="J38" s="16">
        <v>1.0</v>
      </c>
      <c r="K38" s="17" t="s">
        <v>238</v>
      </c>
      <c r="L38" s="16">
        <v>1.0</v>
      </c>
      <c r="M38" s="17" t="s">
        <v>239</v>
      </c>
      <c r="N38" s="16">
        <v>1.0</v>
      </c>
      <c r="O38" s="17" t="s">
        <v>240</v>
      </c>
      <c r="P38" s="16">
        <v>1.0</v>
      </c>
      <c r="Q38" s="17" t="s">
        <v>60</v>
      </c>
      <c r="R38" s="16">
        <v>0.0</v>
      </c>
      <c r="S38" s="17" t="s">
        <v>241</v>
      </c>
      <c r="T38" s="18"/>
      <c r="U38" s="21" t="s">
        <v>242</v>
      </c>
      <c r="V38" s="20"/>
      <c r="W38" s="20"/>
      <c r="X38" s="20"/>
      <c r="Y38" s="20"/>
      <c r="Z38" s="20"/>
      <c r="AA38" s="20"/>
      <c r="AB38" s="20"/>
      <c r="AC38" s="20"/>
      <c r="AD38" s="20"/>
      <c r="AE38" s="20"/>
      <c r="AF38" s="20"/>
      <c r="AG38" s="20"/>
      <c r="AH38" s="20"/>
      <c r="AI38" s="20"/>
    </row>
    <row r="39">
      <c r="A39" s="9">
        <v>540.0</v>
      </c>
      <c r="B39" s="10" t="s">
        <v>243</v>
      </c>
      <c r="C39" s="11">
        <v>45237.0</v>
      </c>
      <c r="D39" s="12" t="s">
        <v>17</v>
      </c>
      <c r="E39" s="13">
        <v>45660.0</v>
      </c>
      <c r="F39" s="14">
        <v>0.0</v>
      </c>
      <c r="G39" s="15"/>
      <c r="H39" s="16">
        <v>1.0</v>
      </c>
      <c r="I39" s="17" t="s">
        <v>244</v>
      </c>
      <c r="J39" s="16">
        <v>1.0</v>
      </c>
      <c r="K39" s="17" t="s">
        <v>245</v>
      </c>
      <c r="L39" s="16">
        <v>1.0</v>
      </c>
      <c r="M39" s="17" t="s">
        <v>246</v>
      </c>
      <c r="N39" s="16">
        <v>0.0</v>
      </c>
      <c r="O39" s="17" t="s">
        <v>247</v>
      </c>
      <c r="P39" s="16">
        <v>1.0</v>
      </c>
      <c r="Q39" s="18"/>
      <c r="R39" s="16">
        <v>0.0</v>
      </c>
      <c r="S39" s="18"/>
      <c r="T39" s="18"/>
      <c r="U39" s="31"/>
      <c r="V39" s="20"/>
      <c r="W39" s="20"/>
      <c r="X39" s="20"/>
      <c r="Y39" s="20"/>
      <c r="Z39" s="20"/>
      <c r="AA39" s="20"/>
      <c r="AB39" s="20"/>
      <c r="AC39" s="20"/>
      <c r="AD39" s="20"/>
      <c r="AE39" s="20"/>
      <c r="AF39" s="20"/>
      <c r="AG39" s="20"/>
      <c r="AH39" s="20"/>
      <c r="AI39" s="20"/>
    </row>
    <row r="40">
      <c r="A40" s="23">
        <v>544.0</v>
      </c>
      <c r="B40" s="22" t="s">
        <v>248</v>
      </c>
      <c r="C40" s="11">
        <v>45188.0</v>
      </c>
      <c r="D40" s="12" t="s">
        <v>17</v>
      </c>
      <c r="E40" s="13">
        <v>45660.0</v>
      </c>
      <c r="F40" s="14">
        <v>0.0</v>
      </c>
      <c r="G40" s="15"/>
      <c r="H40" s="16">
        <v>1.0</v>
      </c>
      <c r="I40" s="17" t="s">
        <v>249</v>
      </c>
      <c r="J40" s="16">
        <v>1.0</v>
      </c>
      <c r="K40" s="17" t="s">
        <v>250</v>
      </c>
      <c r="L40" s="16">
        <v>1.0</v>
      </c>
      <c r="M40" s="17" t="s">
        <v>251</v>
      </c>
      <c r="N40" s="16">
        <v>1.0</v>
      </c>
      <c r="O40" s="17" t="s">
        <v>252</v>
      </c>
      <c r="P40" s="16">
        <v>1.0</v>
      </c>
      <c r="Q40" s="17" t="s">
        <v>60</v>
      </c>
      <c r="R40" s="16">
        <v>0.0</v>
      </c>
      <c r="S40" s="17" t="s">
        <v>117</v>
      </c>
      <c r="T40" s="18"/>
      <c r="U40" s="21" t="s">
        <v>253</v>
      </c>
      <c r="V40" s="20"/>
      <c r="W40" s="20"/>
      <c r="X40" s="20"/>
      <c r="Y40" s="20"/>
      <c r="Z40" s="20"/>
      <c r="AA40" s="20"/>
      <c r="AB40" s="20"/>
      <c r="AC40" s="20"/>
      <c r="AD40" s="20"/>
      <c r="AE40" s="20"/>
      <c r="AF40" s="20"/>
      <c r="AG40" s="20"/>
      <c r="AH40" s="20"/>
      <c r="AI40" s="20"/>
    </row>
    <row r="41">
      <c r="A41" s="23">
        <v>559.0</v>
      </c>
      <c r="B41" s="22" t="s">
        <v>254</v>
      </c>
      <c r="C41" s="24">
        <v>45186.0</v>
      </c>
      <c r="D41" s="12" t="s">
        <v>30</v>
      </c>
      <c r="E41" s="13">
        <v>45660.0</v>
      </c>
      <c r="F41" s="14">
        <v>0.0</v>
      </c>
      <c r="G41" s="15"/>
      <c r="H41" s="16">
        <v>1.0</v>
      </c>
      <c r="I41" s="17" t="s">
        <v>255</v>
      </c>
      <c r="J41" s="16">
        <v>1.0</v>
      </c>
      <c r="K41" s="17" t="s">
        <v>256</v>
      </c>
      <c r="L41" s="16">
        <v>1.0</v>
      </c>
      <c r="M41" s="17" t="s">
        <v>257</v>
      </c>
      <c r="N41" s="16">
        <v>0.0</v>
      </c>
      <c r="O41" s="17" t="s">
        <v>258</v>
      </c>
      <c r="P41" s="16">
        <v>1.0</v>
      </c>
      <c r="Q41" s="17"/>
      <c r="R41" s="16">
        <v>0.0</v>
      </c>
      <c r="S41" s="18"/>
      <c r="T41" s="18"/>
      <c r="U41" s="21" t="s">
        <v>259</v>
      </c>
      <c r="V41" s="20"/>
      <c r="W41" s="20"/>
      <c r="X41" s="20"/>
      <c r="Y41" s="20"/>
      <c r="Z41" s="20"/>
      <c r="AA41" s="20"/>
      <c r="AB41" s="20"/>
      <c r="AC41" s="20"/>
      <c r="AD41" s="20"/>
      <c r="AE41" s="20"/>
      <c r="AF41" s="20"/>
      <c r="AG41" s="20"/>
      <c r="AH41" s="20"/>
      <c r="AI41" s="20"/>
    </row>
    <row r="42">
      <c r="A42" s="9">
        <v>607.0</v>
      </c>
      <c r="B42" s="22" t="s">
        <v>260</v>
      </c>
      <c r="C42" s="11">
        <v>45228.0</v>
      </c>
      <c r="D42" s="12" t="s">
        <v>30</v>
      </c>
      <c r="E42" s="13">
        <v>45660.0</v>
      </c>
      <c r="F42" s="14">
        <v>0.0</v>
      </c>
      <c r="G42" s="15"/>
      <c r="H42" s="16">
        <v>1.0</v>
      </c>
      <c r="I42" s="17" t="s">
        <v>261</v>
      </c>
      <c r="J42" s="16">
        <v>1.0</v>
      </c>
      <c r="K42" s="17" t="s">
        <v>262</v>
      </c>
      <c r="L42" s="16">
        <v>1.0</v>
      </c>
      <c r="M42" s="17" t="s">
        <v>263</v>
      </c>
      <c r="N42" s="16">
        <v>1.0</v>
      </c>
      <c r="O42" s="18"/>
      <c r="P42" s="16">
        <v>1.0</v>
      </c>
      <c r="Q42" s="18"/>
      <c r="R42" s="16">
        <v>0.0</v>
      </c>
      <c r="S42" s="18"/>
      <c r="T42" s="18"/>
      <c r="U42" s="28" t="s">
        <v>264</v>
      </c>
      <c r="V42" s="20"/>
      <c r="W42" s="20"/>
      <c r="X42" s="20"/>
      <c r="Y42" s="20"/>
      <c r="Z42" s="20"/>
      <c r="AA42" s="20"/>
      <c r="AB42" s="20"/>
      <c r="AC42" s="20"/>
      <c r="AD42" s="20"/>
      <c r="AE42" s="20"/>
      <c r="AF42" s="20"/>
      <c r="AG42" s="20"/>
      <c r="AH42" s="20"/>
      <c r="AI42" s="20"/>
    </row>
    <row r="43">
      <c r="A43" s="23">
        <v>616.0</v>
      </c>
      <c r="B43" s="10" t="s">
        <v>265</v>
      </c>
      <c r="C43" s="24">
        <v>45186.0</v>
      </c>
      <c r="D43" s="12" t="s">
        <v>30</v>
      </c>
      <c r="E43" s="13">
        <v>45660.0</v>
      </c>
      <c r="F43" s="14" t="s">
        <v>266</v>
      </c>
      <c r="G43" s="14" t="s">
        <v>266</v>
      </c>
      <c r="H43" s="16" t="s">
        <v>266</v>
      </c>
      <c r="I43" s="17" t="s">
        <v>267</v>
      </c>
      <c r="J43" s="16" t="s">
        <v>266</v>
      </c>
      <c r="K43" s="17" t="s">
        <v>267</v>
      </c>
      <c r="L43" s="16" t="s">
        <v>266</v>
      </c>
      <c r="M43" s="17" t="s">
        <v>267</v>
      </c>
      <c r="N43" s="16" t="s">
        <v>266</v>
      </c>
      <c r="O43" s="17" t="s">
        <v>267</v>
      </c>
      <c r="P43" s="16" t="s">
        <v>266</v>
      </c>
      <c r="Q43" s="17" t="s">
        <v>267</v>
      </c>
      <c r="R43" s="16" t="s">
        <v>266</v>
      </c>
      <c r="S43" s="17" t="s">
        <v>267</v>
      </c>
      <c r="T43" s="17" t="s">
        <v>267</v>
      </c>
      <c r="U43" s="27" t="s">
        <v>266</v>
      </c>
      <c r="V43" s="20"/>
      <c r="W43" s="20"/>
      <c r="X43" s="20"/>
      <c r="Y43" s="20"/>
      <c r="Z43" s="20"/>
      <c r="AA43" s="20"/>
      <c r="AB43" s="20"/>
      <c r="AC43" s="20"/>
      <c r="AD43" s="20"/>
      <c r="AE43" s="20"/>
      <c r="AF43" s="20"/>
      <c r="AG43" s="20"/>
      <c r="AH43" s="20"/>
      <c r="AI43" s="20"/>
    </row>
    <row r="44">
      <c r="A44" s="23">
        <v>638.0</v>
      </c>
      <c r="B44" s="22" t="s">
        <v>268</v>
      </c>
      <c r="C44" s="11">
        <v>45215.0</v>
      </c>
      <c r="D44" s="12" t="s">
        <v>30</v>
      </c>
      <c r="E44" s="13">
        <v>45660.0</v>
      </c>
      <c r="F44" s="14">
        <v>1.0</v>
      </c>
      <c r="G44" s="14" t="s">
        <v>148</v>
      </c>
      <c r="H44" s="16">
        <v>1.0</v>
      </c>
      <c r="I44" s="17" t="s">
        <v>269</v>
      </c>
      <c r="J44" s="16">
        <v>1.0</v>
      </c>
      <c r="K44" s="17" t="s">
        <v>270</v>
      </c>
      <c r="L44" s="16">
        <v>1.0</v>
      </c>
      <c r="M44" s="17" t="s">
        <v>271</v>
      </c>
      <c r="N44" s="16">
        <v>1.0</v>
      </c>
      <c r="O44" s="18"/>
      <c r="P44" s="16">
        <v>1.0</v>
      </c>
      <c r="Q44" s="18"/>
      <c r="R44" s="16">
        <v>1.0</v>
      </c>
      <c r="S44" s="17" t="s">
        <v>272</v>
      </c>
      <c r="T44" s="18"/>
      <c r="U44" s="21" t="s">
        <v>273</v>
      </c>
      <c r="V44" s="20"/>
      <c r="W44" s="20"/>
      <c r="X44" s="20"/>
      <c r="Y44" s="20"/>
      <c r="Z44" s="20"/>
      <c r="AA44" s="20"/>
      <c r="AB44" s="20"/>
      <c r="AC44" s="20"/>
      <c r="AD44" s="20"/>
      <c r="AE44" s="20"/>
      <c r="AF44" s="20"/>
      <c r="AG44" s="20"/>
      <c r="AH44" s="20"/>
      <c r="AI44" s="20"/>
    </row>
    <row r="45">
      <c r="A45" s="9">
        <v>644.0</v>
      </c>
      <c r="B45" s="10" t="s">
        <v>274</v>
      </c>
      <c r="C45" s="11">
        <v>45228.0</v>
      </c>
      <c r="D45" s="12" t="s">
        <v>17</v>
      </c>
      <c r="E45" s="13">
        <v>45660.0</v>
      </c>
      <c r="F45" s="14">
        <v>0.0</v>
      </c>
      <c r="G45" s="15"/>
      <c r="H45" s="16">
        <v>1.0</v>
      </c>
      <c r="I45" s="17" t="s">
        <v>275</v>
      </c>
      <c r="J45" s="16">
        <v>1.0</v>
      </c>
      <c r="K45" s="17" t="s">
        <v>276</v>
      </c>
      <c r="L45" s="16">
        <v>1.0</v>
      </c>
      <c r="M45" s="17" t="s">
        <v>277</v>
      </c>
      <c r="N45" s="16">
        <v>1.0</v>
      </c>
      <c r="O45" s="17" t="s">
        <v>278</v>
      </c>
      <c r="P45" s="16">
        <v>1.0</v>
      </c>
      <c r="Q45" s="18"/>
      <c r="R45" s="16">
        <v>0.0</v>
      </c>
      <c r="S45" s="18"/>
      <c r="T45" s="18"/>
      <c r="U45" s="21" t="s">
        <v>279</v>
      </c>
      <c r="V45" s="20"/>
      <c r="W45" s="20"/>
      <c r="X45" s="20"/>
      <c r="Y45" s="20"/>
      <c r="Z45" s="20"/>
      <c r="AA45" s="20"/>
      <c r="AB45" s="20"/>
      <c r="AC45" s="20"/>
      <c r="AD45" s="20"/>
      <c r="AE45" s="20"/>
      <c r="AF45" s="20"/>
      <c r="AG45" s="20"/>
      <c r="AH45" s="20"/>
      <c r="AI45" s="20"/>
    </row>
    <row r="46">
      <c r="A46" s="23">
        <v>650.0</v>
      </c>
      <c r="B46" s="22" t="s">
        <v>280</v>
      </c>
      <c r="C46" s="11">
        <v>45215.0</v>
      </c>
      <c r="D46" s="12" t="s">
        <v>30</v>
      </c>
      <c r="E46" s="13">
        <v>45660.0</v>
      </c>
      <c r="F46" s="14">
        <v>1.0</v>
      </c>
      <c r="G46" s="14" t="s">
        <v>281</v>
      </c>
      <c r="H46" s="16">
        <v>1.0</v>
      </c>
      <c r="I46" s="17" t="s">
        <v>282</v>
      </c>
      <c r="J46" s="16">
        <v>1.0</v>
      </c>
      <c r="K46" s="17" t="s">
        <v>283</v>
      </c>
      <c r="L46" s="16">
        <v>1.0</v>
      </c>
      <c r="M46" s="17" t="s">
        <v>284</v>
      </c>
      <c r="N46" s="16">
        <v>1.0</v>
      </c>
      <c r="O46" s="17" t="s">
        <v>285</v>
      </c>
      <c r="P46" s="16">
        <v>1.0</v>
      </c>
      <c r="Q46" s="18"/>
      <c r="R46" s="16">
        <v>0.0</v>
      </c>
      <c r="S46" s="18"/>
      <c r="T46" s="18"/>
      <c r="U46" s="21" t="s">
        <v>286</v>
      </c>
      <c r="V46" s="20"/>
      <c r="W46" s="20"/>
      <c r="X46" s="20"/>
      <c r="Y46" s="20"/>
      <c r="Z46" s="20"/>
      <c r="AA46" s="20"/>
      <c r="AB46" s="20"/>
      <c r="AC46" s="20"/>
      <c r="AD46" s="20"/>
      <c r="AE46" s="20"/>
      <c r="AF46" s="20"/>
      <c r="AG46" s="20"/>
      <c r="AH46" s="20"/>
      <c r="AI46" s="20"/>
    </row>
    <row r="47">
      <c r="A47" s="9">
        <v>651.0</v>
      </c>
      <c r="B47" s="10" t="s">
        <v>287</v>
      </c>
      <c r="C47" s="11">
        <v>45227.0</v>
      </c>
      <c r="D47" s="12" t="s">
        <v>17</v>
      </c>
      <c r="E47" s="13">
        <v>45660.0</v>
      </c>
      <c r="F47" s="14">
        <v>0.0</v>
      </c>
      <c r="G47" s="15"/>
      <c r="H47" s="16">
        <v>1.0</v>
      </c>
      <c r="I47" s="17" t="s">
        <v>288</v>
      </c>
      <c r="J47" s="16">
        <v>1.0</v>
      </c>
      <c r="K47" s="17" t="s">
        <v>289</v>
      </c>
      <c r="L47" s="16">
        <v>1.0</v>
      </c>
      <c r="M47" s="17" t="s">
        <v>290</v>
      </c>
      <c r="N47" s="16">
        <v>0.0</v>
      </c>
      <c r="O47" s="17" t="s">
        <v>291</v>
      </c>
      <c r="P47" s="16">
        <v>1.0</v>
      </c>
      <c r="Q47" s="18"/>
      <c r="R47" s="16">
        <v>0.0</v>
      </c>
      <c r="S47" s="18"/>
      <c r="T47" s="18"/>
      <c r="U47" s="21" t="s">
        <v>292</v>
      </c>
      <c r="V47" s="20"/>
      <c r="W47" s="20"/>
      <c r="X47" s="20"/>
      <c r="Y47" s="20"/>
      <c r="Z47" s="20"/>
      <c r="AA47" s="20"/>
      <c r="AB47" s="20"/>
      <c r="AC47" s="20"/>
      <c r="AD47" s="20"/>
      <c r="AE47" s="20"/>
      <c r="AF47" s="20"/>
      <c r="AG47" s="20"/>
      <c r="AH47" s="20"/>
      <c r="AI47" s="20"/>
    </row>
    <row r="48">
      <c r="A48" s="23">
        <v>670.0</v>
      </c>
      <c r="B48" s="22" t="s">
        <v>293</v>
      </c>
      <c r="C48" s="11">
        <v>45188.0</v>
      </c>
      <c r="D48" s="12" t="s">
        <v>17</v>
      </c>
      <c r="E48" s="13">
        <v>45660.0</v>
      </c>
      <c r="F48" s="14">
        <v>0.0</v>
      </c>
      <c r="G48" s="15"/>
      <c r="H48" s="16">
        <v>1.0</v>
      </c>
      <c r="I48" s="17" t="s">
        <v>294</v>
      </c>
      <c r="J48" s="16">
        <v>1.0</v>
      </c>
      <c r="K48" s="17" t="s">
        <v>295</v>
      </c>
      <c r="L48" s="16">
        <v>1.0</v>
      </c>
      <c r="M48" s="17" t="s">
        <v>296</v>
      </c>
      <c r="N48" s="16">
        <v>0.0</v>
      </c>
      <c r="O48" s="17" t="s">
        <v>297</v>
      </c>
      <c r="P48" s="16">
        <v>0.0</v>
      </c>
      <c r="Q48" s="18"/>
      <c r="R48" s="16">
        <v>0.0</v>
      </c>
      <c r="S48" s="18"/>
      <c r="T48" s="18"/>
      <c r="U48" s="28" t="s">
        <v>298</v>
      </c>
      <c r="V48" s="20"/>
      <c r="W48" s="20"/>
      <c r="X48" s="20"/>
      <c r="Y48" s="20"/>
      <c r="Z48" s="20"/>
      <c r="AA48" s="20"/>
      <c r="AB48" s="20"/>
      <c r="AC48" s="20"/>
      <c r="AD48" s="20"/>
      <c r="AE48" s="20"/>
      <c r="AF48" s="20"/>
      <c r="AG48" s="20"/>
      <c r="AH48" s="20"/>
      <c r="AI48" s="20"/>
    </row>
    <row r="49">
      <c r="A49" s="9">
        <v>695.0</v>
      </c>
      <c r="B49" s="10" t="s">
        <v>299</v>
      </c>
      <c r="C49" s="11">
        <v>45223.0</v>
      </c>
      <c r="D49" s="12" t="s">
        <v>17</v>
      </c>
      <c r="E49" s="13">
        <v>45660.0</v>
      </c>
      <c r="F49" s="14">
        <v>0.0</v>
      </c>
      <c r="G49" s="15"/>
      <c r="H49" s="16">
        <v>1.0</v>
      </c>
      <c r="I49" s="17" t="s">
        <v>300</v>
      </c>
      <c r="J49" s="16">
        <v>1.0</v>
      </c>
      <c r="K49" s="17" t="s">
        <v>301</v>
      </c>
      <c r="L49" s="16">
        <v>1.0</v>
      </c>
      <c r="M49" s="17" t="s">
        <v>302</v>
      </c>
      <c r="N49" s="16">
        <v>0.0</v>
      </c>
      <c r="O49" s="17" t="s">
        <v>303</v>
      </c>
      <c r="P49" s="16">
        <v>1.0</v>
      </c>
      <c r="Q49" s="18"/>
      <c r="R49" s="16">
        <v>0.0</v>
      </c>
      <c r="S49" s="17" t="s">
        <v>304</v>
      </c>
      <c r="T49" s="18"/>
      <c r="U49" s="28" t="s">
        <v>305</v>
      </c>
      <c r="V49" s="20"/>
      <c r="W49" s="20"/>
      <c r="X49" s="20"/>
      <c r="Y49" s="20"/>
      <c r="Z49" s="20"/>
      <c r="AA49" s="20"/>
      <c r="AB49" s="20"/>
      <c r="AC49" s="20"/>
      <c r="AD49" s="20"/>
      <c r="AE49" s="20"/>
      <c r="AF49" s="20"/>
      <c r="AG49" s="20"/>
      <c r="AH49" s="20"/>
      <c r="AI49" s="20"/>
    </row>
    <row r="50">
      <c r="A50" s="9">
        <v>709.0</v>
      </c>
      <c r="B50" s="10" t="s">
        <v>306</v>
      </c>
      <c r="C50" s="11">
        <v>45223.0</v>
      </c>
      <c r="D50" s="12" t="s">
        <v>17</v>
      </c>
      <c r="E50" s="13">
        <v>45660.0</v>
      </c>
      <c r="F50" s="14">
        <v>0.0</v>
      </c>
      <c r="G50" s="15"/>
      <c r="H50" s="16">
        <v>1.0</v>
      </c>
      <c r="I50" s="17" t="s">
        <v>307</v>
      </c>
      <c r="J50" s="16">
        <v>1.0</v>
      </c>
      <c r="K50" s="17" t="s">
        <v>308</v>
      </c>
      <c r="L50" s="16">
        <v>0.0</v>
      </c>
      <c r="M50" s="17" t="s">
        <v>309</v>
      </c>
      <c r="N50" s="32"/>
      <c r="O50" s="18"/>
      <c r="P50" s="32"/>
      <c r="Q50" s="18"/>
      <c r="R50" s="32"/>
      <c r="S50" s="18"/>
      <c r="T50" s="18"/>
      <c r="U50" s="21" t="s">
        <v>310</v>
      </c>
      <c r="V50" s="20"/>
      <c r="W50" s="20"/>
      <c r="X50" s="20"/>
      <c r="Y50" s="20"/>
      <c r="Z50" s="20"/>
      <c r="AA50" s="20"/>
      <c r="AB50" s="20"/>
      <c r="AC50" s="20"/>
      <c r="AD50" s="20"/>
      <c r="AE50" s="20"/>
      <c r="AF50" s="20"/>
      <c r="AG50" s="20"/>
      <c r="AH50" s="20"/>
      <c r="AI50" s="20"/>
    </row>
    <row r="51">
      <c r="A51" s="9">
        <v>725.0</v>
      </c>
      <c r="B51" s="10" t="s">
        <v>311</v>
      </c>
      <c r="C51" s="11">
        <v>45230.0</v>
      </c>
      <c r="D51" s="12" t="s">
        <v>30</v>
      </c>
      <c r="E51" s="13">
        <v>45660.0</v>
      </c>
      <c r="F51" s="14">
        <v>0.0</v>
      </c>
      <c r="G51" s="15"/>
      <c r="H51" s="16">
        <v>1.0</v>
      </c>
      <c r="I51" s="17" t="s">
        <v>312</v>
      </c>
      <c r="J51" s="16">
        <v>0.0</v>
      </c>
      <c r="K51" s="18"/>
      <c r="L51" s="16">
        <v>1.0</v>
      </c>
      <c r="M51" s="17" t="s">
        <v>313</v>
      </c>
      <c r="N51" s="16">
        <v>0.0</v>
      </c>
      <c r="O51" s="18"/>
      <c r="P51" s="16">
        <v>1.0</v>
      </c>
      <c r="Q51" s="18"/>
      <c r="R51" s="16">
        <v>0.0</v>
      </c>
      <c r="S51" s="18"/>
      <c r="T51" s="18"/>
      <c r="U51" s="28" t="s">
        <v>314</v>
      </c>
      <c r="V51" s="20"/>
      <c r="W51" s="20"/>
      <c r="X51" s="20"/>
      <c r="Y51" s="20"/>
      <c r="Z51" s="20"/>
      <c r="AA51" s="20"/>
      <c r="AB51" s="20"/>
      <c r="AC51" s="20"/>
      <c r="AD51" s="20"/>
      <c r="AE51" s="20"/>
      <c r="AF51" s="20"/>
      <c r="AG51" s="20"/>
      <c r="AH51" s="20"/>
      <c r="AI51" s="20"/>
    </row>
    <row r="52">
      <c r="A52" s="23">
        <v>731.0</v>
      </c>
      <c r="B52" s="10" t="s">
        <v>315</v>
      </c>
      <c r="C52" s="11">
        <v>45216.0</v>
      </c>
      <c r="D52" s="12" t="s">
        <v>17</v>
      </c>
      <c r="E52" s="13">
        <v>45660.0</v>
      </c>
      <c r="F52" s="14">
        <v>0.0</v>
      </c>
      <c r="G52" s="15"/>
      <c r="H52" s="16">
        <v>1.0</v>
      </c>
      <c r="I52" s="17" t="s">
        <v>316</v>
      </c>
      <c r="J52" s="16">
        <v>1.0</v>
      </c>
      <c r="K52" s="17" t="s">
        <v>317</v>
      </c>
      <c r="L52" s="16">
        <v>1.0</v>
      </c>
      <c r="M52" s="17" t="s">
        <v>318</v>
      </c>
      <c r="N52" s="16">
        <v>1.0</v>
      </c>
      <c r="O52" s="17" t="s">
        <v>319</v>
      </c>
      <c r="P52" s="16">
        <v>1.0</v>
      </c>
      <c r="Q52" s="18"/>
      <c r="R52" s="16">
        <v>1.0</v>
      </c>
      <c r="S52" s="25" t="s">
        <v>320</v>
      </c>
      <c r="T52" s="18"/>
      <c r="U52" s="28" t="s">
        <v>321</v>
      </c>
      <c r="V52" s="20"/>
      <c r="W52" s="20"/>
      <c r="X52" s="20"/>
      <c r="Y52" s="20"/>
      <c r="Z52" s="20"/>
      <c r="AA52" s="20"/>
      <c r="AB52" s="20"/>
      <c r="AC52" s="20"/>
      <c r="AD52" s="20"/>
      <c r="AE52" s="20"/>
      <c r="AF52" s="20"/>
      <c r="AG52" s="20"/>
      <c r="AH52" s="20"/>
      <c r="AI52" s="20"/>
    </row>
    <row r="53">
      <c r="A53" s="23">
        <v>788.0</v>
      </c>
      <c r="B53" s="22" t="s">
        <v>322</v>
      </c>
      <c r="C53" s="24">
        <v>45186.0</v>
      </c>
      <c r="D53" s="12" t="s">
        <v>30</v>
      </c>
      <c r="E53" s="13">
        <v>45660.0</v>
      </c>
      <c r="F53" s="14">
        <v>0.0</v>
      </c>
      <c r="G53" s="15"/>
      <c r="H53" s="16">
        <v>1.0</v>
      </c>
      <c r="I53" s="17" t="s">
        <v>323</v>
      </c>
      <c r="J53" s="16">
        <v>1.0</v>
      </c>
      <c r="K53" s="17" t="s">
        <v>324</v>
      </c>
      <c r="L53" s="16">
        <v>1.0</v>
      </c>
      <c r="M53" s="17" t="s">
        <v>325</v>
      </c>
      <c r="N53" s="16">
        <v>1.0</v>
      </c>
      <c r="O53" s="17" t="s">
        <v>326</v>
      </c>
      <c r="P53" s="16">
        <v>1.0</v>
      </c>
      <c r="Q53" s="17" t="s">
        <v>60</v>
      </c>
      <c r="R53" s="16">
        <v>1.0</v>
      </c>
      <c r="S53" s="17" t="s">
        <v>327</v>
      </c>
      <c r="T53" s="17" t="s">
        <v>328</v>
      </c>
      <c r="U53" s="29" t="s">
        <v>329</v>
      </c>
      <c r="V53" s="20"/>
      <c r="W53" s="20"/>
      <c r="X53" s="20"/>
      <c r="Y53" s="20"/>
      <c r="Z53" s="20"/>
      <c r="AA53" s="20"/>
      <c r="AB53" s="20"/>
      <c r="AC53" s="20"/>
      <c r="AD53" s="20"/>
      <c r="AE53" s="20"/>
      <c r="AF53" s="20"/>
      <c r="AG53" s="20"/>
      <c r="AH53" s="20"/>
      <c r="AI53" s="20"/>
    </row>
    <row r="54">
      <c r="A54" s="23">
        <v>846.0</v>
      </c>
      <c r="B54" s="22" t="s">
        <v>330</v>
      </c>
      <c r="C54" s="11">
        <v>45216.0</v>
      </c>
      <c r="D54" s="12" t="s">
        <v>30</v>
      </c>
      <c r="E54" s="13">
        <v>45660.0</v>
      </c>
      <c r="F54" s="14">
        <v>0.0</v>
      </c>
      <c r="G54" s="15"/>
      <c r="H54" s="16">
        <v>1.0</v>
      </c>
      <c r="I54" s="17" t="s">
        <v>331</v>
      </c>
      <c r="J54" s="16">
        <v>1.0</v>
      </c>
      <c r="K54" s="17" t="s">
        <v>332</v>
      </c>
      <c r="L54" s="16">
        <v>1.0</v>
      </c>
      <c r="M54" s="17" t="s">
        <v>333</v>
      </c>
      <c r="N54" s="16">
        <v>0.0</v>
      </c>
      <c r="O54" s="18"/>
      <c r="P54" s="16">
        <v>1.0</v>
      </c>
      <c r="Q54" s="18"/>
      <c r="R54" s="16">
        <v>0.0</v>
      </c>
      <c r="S54" s="18"/>
      <c r="T54" s="18"/>
      <c r="U54" s="28" t="s">
        <v>334</v>
      </c>
      <c r="V54" s="20"/>
      <c r="W54" s="20"/>
      <c r="X54" s="20"/>
      <c r="Y54" s="20"/>
      <c r="Z54" s="20"/>
      <c r="AA54" s="20"/>
      <c r="AB54" s="20"/>
      <c r="AC54" s="20"/>
      <c r="AD54" s="20"/>
      <c r="AE54" s="20"/>
      <c r="AF54" s="20"/>
      <c r="AG54" s="20"/>
      <c r="AH54" s="20"/>
      <c r="AI54" s="20"/>
    </row>
    <row r="55">
      <c r="A55" s="23">
        <v>855.0</v>
      </c>
      <c r="B55" s="22" t="s">
        <v>335</v>
      </c>
      <c r="C55" s="11">
        <v>45184.0</v>
      </c>
      <c r="D55" s="12" t="s">
        <v>30</v>
      </c>
      <c r="E55" s="13">
        <v>45660.0</v>
      </c>
      <c r="F55" s="14">
        <v>0.0</v>
      </c>
      <c r="G55" s="15"/>
      <c r="H55" s="16">
        <v>1.0</v>
      </c>
      <c r="I55" s="17" t="s">
        <v>336</v>
      </c>
      <c r="J55" s="16">
        <v>0.0</v>
      </c>
      <c r="K55" s="17" t="s">
        <v>337</v>
      </c>
      <c r="L55" s="16">
        <v>1.0</v>
      </c>
      <c r="M55" s="17" t="s">
        <v>338</v>
      </c>
      <c r="N55" s="16">
        <v>1.0</v>
      </c>
      <c r="O55" s="18"/>
      <c r="P55" s="16">
        <v>1.0</v>
      </c>
      <c r="Q55" s="17" t="s">
        <v>39</v>
      </c>
      <c r="R55" s="16">
        <v>1.0</v>
      </c>
      <c r="S55" s="17" t="s">
        <v>339</v>
      </c>
      <c r="T55" s="26" t="s">
        <v>340</v>
      </c>
      <c r="U55" s="29" t="s">
        <v>341</v>
      </c>
      <c r="V55" s="20"/>
      <c r="W55" s="20"/>
      <c r="X55" s="20"/>
      <c r="Y55" s="20"/>
      <c r="Z55" s="20"/>
      <c r="AA55" s="20"/>
      <c r="AB55" s="20"/>
      <c r="AC55" s="20"/>
      <c r="AD55" s="20"/>
      <c r="AE55" s="20"/>
      <c r="AF55" s="20"/>
      <c r="AG55" s="20"/>
      <c r="AH55" s="20"/>
      <c r="AI55" s="20"/>
    </row>
    <row r="56">
      <c r="A56" s="23">
        <v>869.0</v>
      </c>
      <c r="B56" s="10" t="s">
        <v>342</v>
      </c>
      <c r="C56" s="24">
        <v>45186.0</v>
      </c>
      <c r="D56" s="12" t="s">
        <v>30</v>
      </c>
      <c r="E56" s="13">
        <v>45660.0</v>
      </c>
      <c r="F56" s="14">
        <v>1.0</v>
      </c>
      <c r="G56" s="14" t="s">
        <v>224</v>
      </c>
      <c r="H56" s="16">
        <v>1.0</v>
      </c>
      <c r="I56" s="17" t="s">
        <v>343</v>
      </c>
      <c r="J56" s="16">
        <v>1.0</v>
      </c>
      <c r="K56" s="17" t="s">
        <v>344</v>
      </c>
      <c r="L56" s="16">
        <v>1.0</v>
      </c>
      <c r="M56" s="17" t="s">
        <v>345</v>
      </c>
      <c r="N56" s="16">
        <v>1.0</v>
      </c>
      <c r="O56" s="17" t="s">
        <v>346</v>
      </c>
      <c r="P56" s="16">
        <v>1.0</v>
      </c>
      <c r="Q56" s="17" t="s">
        <v>60</v>
      </c>
      <c r="R56" s="16">
        <v>0.0</v>
      </c>
      <c r="S56" s="18"/>
      <c r="T56" s="18"/>
      <c r="U56" s="21" t="s">
        <v>347</v>
      </c>
      <c r="V56" s="20"/>
      <c r="W56" s="20"/>
      <c r="X56" s="20"/>
      <c r="Y56" s="20"/>
      <c r="Z56" s="20"/>
      <c r="AA56" s="20"/>
      <c r="AB56" s="20"/>
      <c r="AC56" s="20"/>
      <c r="AD56" s="20"/>
      <c r="AE56" s="20"/>
      <c r="AF56" s="20"/>
      <c r="AG56" s="20"/>
      <c r="AH56" s="20"/>
      <c r="AI56" s="20"/>
    </row>
    <row r="57">
      <c r="A57" s="23">
        <v>882.0</v>
      </c>
      <c r="B57" s="22" t="s">
        <v>348</v>
      </c>
      <c r="C57" s="24">
        <v>45186.0</v>
      </c>
      <c r="D57" s="12" t="s">
        <v>30</v>
      </c>
      <c r="E57" s="13">
        <v>45660.0</v>
      </c>
      <c r="F57" s="14">
        <v>0.0</v>
      </c>
      <c r="G57" s="15"/>
      <c r="H57" s="16">
        <v>1.0</v>
      </c>
      <c r="I57" s="17" t="s">
        <v>349</v>
      </c>
      <c r="J57" s="16">
        <v>1.0</v>
      </c>
      <c r="K57" s="17" t="s">
        <v>350</v>
      </c>
      <c r="L57" s="16">
        <v>1.0</v>
      </c>
      <c r="M57" s="17" t="s">
        <v>351</v>
      </c>
      <c r="N57" s="16">
        <v>0.0</v>
      </c>
      <c r="O57" s="17" t="s">
        <v>352</v>
      </c>
      <c r="P57" s="16">
        <v>1.0</v>
      </c>
      <c r="Q57" s="17" t="s">
        <v>39</v>
      </c>
      <c r="R57" s="16">
        <v>0.0</v>
      </c>
      <c r="S57" s="18"/>
      <c r="T57" s="18"/>
      <c r="U57" s="21" t="s">
        <v>353</v>
      </c>
      <c r="V57" s="20"/>
      <c r="W57" s="20"/>
      <c r="X57" s="20"/>
      <c r="Y57" s="20"/>
      <c r="Z57" s="20"/>
      <c r="AA57" s="20"/>
      <c r="AB57" s="20"/>
      <c r="AC57" s="20"/>
      <c r="AD57" s="20"/>
      <c r="AE57" s="20"/>
      <c r="AF57" s="20"/>
      <c r="AG57" s="20"/>
      <c r="AH57" s="20"/>
      <c r="AI57" s="20"/>
    </row>
    <row r="58">
      <c r="A58" s="9">
        <v>890.0</v>
      </c>
      <c r="B58" s="10" t="s">
        <v>354</v>
      </c>
      <c r="C58" s="30"/>
      <c r="D58" s="12" t="s">
        <v>17</v>
      </c>
      <c r="E58" s="13">
        <v>45660.0</v>
      </c>
      <c r="F58" s="14">
        <v>0.0</v>
      </c>
      <c r="G58" s="15"/>
      <c r="H58" s="16">
        <v>1.0</v>
      </c>
      <c r="I58" s="17" t="s">
        <v>355</v>
      </c>
      <c r="J58" s="16">
        <v>1.0</v>
      </c>
      <c r="K58" s="17" t="s">
        <v>356</v>
      </c>
      <c r="L58" s="16">
        <v>1.0</v>
      </c>
      <c r="M58" s="17" t="s">
        <v>357</v>
      </c>
      <c r="N58" s="16">
        <v>1.0</v>
      </c>
      <c r="O58" s="18"/>
      <c r="P58" s="16">
        <v>1.0</v>
      </c>
      <c r="Q58" s="18"/>
      <c r="R58" s="16">
        <v>1.0</v>
      </c>
      <c r="S58" s="17" t="s">
        <v>358</v>
      </c>
      <c r="T58" s="18"/>
      <c r="U58" s="21" t="s">
        <v>359</v>
      </c>
      <c r="V58" s="20"/>
      <c r="W58" s="20"/>
      <c r="X58" s="20"/>
      <c r="Y58" s="20"/>
      <c r="Z58" s="20"/>
      <c r="AA58" s="20"/>
      <c r="AB58" s="20"/>
      <c r="AC58" s="20"/>
      <c r="AD58" s="20"/>
      <c r="AE58" s="20"/>
      <c r="AF58" s="20"/>
      <c r="AG58" s="20"/>
      <c r="AH58" s="20"/>
      <c r="AI58" s="20"/>
    </row>
    <row r="59">
      <c r="A59" s="9">
        <v>910.0</v>
      </c>
      <c r="B59" s="22" t="s">
        <v>360</v>
      </c>
      <c r="C59" s="11">
        <v>45230.0</v>
      </c>
      <c r="D59" s="12" t="s">
        <v>30</v>
      </c>
      <c r="E59" s="13">
        <v>45660.0</v>
      </c>
      <c r="F59" s="14">
        <v>0.0</v>
      </c>
      <c r="G59" s="15"/>
      <c r="H59" s="16">
        <v>0.0</v>
      </c>
      <c r="I59" s="18"/>
      <c r="J59" s="16">
        <v>0.0</v>
      </c>
      <c r="K59" s="18"/>
      <c r="L59" s="16">
        <v>1.0</v>
      </c>
      <c r="M59" s="17" t="s">
        <v>361</v>
      </c>
      <c r="N59" s="16">
        <v>0.0</v>
      </c>
      <c r="O59" s="18"/>
      <c r="P59" s="16">
        <v>0.0</v>
      </c>
      <c r="Q59" s="18"/>
      <c r="R59" s="16">
        <v>0.0</v>
      </c>
      <c r="S59" s="18"/>
      <c r="T59" s="18"/>
      <c r="U59" s="21" t="s">
        <v>362</v>
      </c>
      <c r="V59" s="20"/>
      <c r="W59" s="20"/>
      <c r="X59" s="20"/>
      <c r="Y59" s="20"/>
      <c r="Z59" s="20"/>
      <c r="AA59" s="20"/>
      <c r="AB59" s="20"/>
      <c r="AC59" s="20"/>
      <c r="AD59" s="20"/>
      <c r="AE59" s="20"/>
      <c r="AF59" s="20"/>
      <c r="AG59" s="20"/>
      <c r="AH59" s="20"/>
      <c r="AI59" s="20"/>
    </row>
    <row r="60">
      <c r="A60" s="9">
        <v>917.0</v>
      </c>
      <c r="B60" s="10" t="s">
        <v>363</v>
      </c>
      <c r="C60" s="11">
        <v>45228.0</v>
      </c>
      <c r="D60" s="12" t="s">
        <v>30</v>
      </c>
      <c r="E60" s="13">
        <v>45660.0</v>
      </c>
      <c r="F60" s="14">
        <v>0.0</v>
      </c>
      <c r="G60" s="15"/>
      <c r="H60" s="16">
        <v>1.0</v>
      </c>
      <c r="I60" s="17" t="s">
        <v>364</v>
      </c>
      <c r="J60" s="16">
        <v>1.0</v>
      </c>
      <c r="K60" s="17" t="s">
        <v>365</v>
      </c>
      <c r="L60" s="16">
        <v>1.0</v>
      </c>
      <c r="M60" s="17" t="s">
        <v>366</v>
      </c>
      <c r="N60" s="16">
        <v>0.0</v>
      </c>
      <c r="O60" s="18"/>
      <c r="P60" s="16">
        <v>1.0</v>
      </c>
      <c r="Q60" s="18"/>
      <c r="R60" s="16">
        <v>0.0</v>
      </c>
      <c r="S60" s="18"/>
      <c r="T60" s="18"/>
      <c r="U60" s="21" t="s">
        <v>367</v>
      </c>
      <c r="V60" s="20"/>
      <c r="W60" s="20"/>
      <c r="X60" s="20"/>
      <c r="Y60" s="20"/>
      <c r="Z60" s="20"/>
      <c r="AA60" s="20"/>
      <c r="AB60" s="20"/>
      <c r="AC60" s="20"/>
      <c r="AD60" s="20"/>
      <c r="AE60" s="20"/>
      <c r="AF60" s="20"/>
      <c r="AG60" s="20"/>
      <c r="AH60" s="20"/>
      <c r="AI60" s="20"/>
    </row>
    <row r="61">
      <c r="A61" s="9">
        <v>936.0</v>
      </c>
      <c r="B61" s="10" t="s">
        <v>368</v>
      </c>
      <c r="C61" s="11">
        <v>45223.0</v>
      </c>
      <c r="D61" s="12" t="s">
        <v>17</v>
      </c>
      <c r="E61" s="13">
        <v>45660.0</v>
      </c>
      <c r="F61" s="14">
        <v>0.0</v>
      </c>
      <c r="G61" s="15"/>
      <c r="H61" s="16">
        <v>1.0</v>
      </c>
      <c r="I61" s="17" t="s">
        <v>369</v>
      </c>
      <c r="J61" s="16">
        <v>1.0</v>
      </c>
      <c r="K61" s="17" t="s">
        <v>369</v>
      </c>
      <c r="L61" s="16">
        <v>1.0</v>
      </c>
      <c r="M61" s="17" t="s">
        <v>370</v>
      </c>
      <c r="N61" s="16">
        <v>1.0</v>
      </c>
      <c r="O61" s="17" t="s">
        <v>371</v>
      </c>
      <c r="P61" s="16">
        <v>1.0</v>
      </c>
      <c r="Q61" s="18"/>
      <c r="R61" s="16">
        <v>1.0</v>
      </c>
      <c r="S61" s="17" t="s">
        <v>372</v>
      </c>
      <c r="T61" s="18"/>
      <c r="U61" s="21" t="s">
        <v>373</v>
      </c>
      <c r="V61" s="20"/>
      <c r="W61" s="20"/>
      <c r="X61" s="20"/>
      <c r="Y61" s="20"/>
      <c r="Z61" s="20"/>
      <c r="AA61" s="20"/>
      <c r="AB61" s="20"/>
      <c r="AC61" s="20"/>
      <c r="AD61" s="20"/>
      <c r="AE61" s="20"/>
      <c r="AF61" s="20"/>
      <c r="AG61" s="20"/>
      <c r="AH61" s="20"/>
      <c r="AI61" s="20"/>
    </row>
    <row r="62">
      <c r="A62" s="23">
        <v>968.0</v>
      </c>
      <c r="B62" s="10" t="s">
        <v>374</v>
      </c>
      <c r="C62" s="11">
        <v>45188.0</v>
      </c>
      <c r="D62" s="12" t="s">
        <v>17</v>
      </c>
      <c r="E62" s="13">
        <v>45660.0</v>
      </c>
      <c r="F62" s="14">
        <v>0.0</v>
      </c>
      <c r="G62" s="15"/>
      <c r="H62" s="16">
        <v>1.0</v>
      </c>
      <c r="I62" s="17" t="s">
        <v>375</v>
      </c>
      <c r="J62" s="16">
        <v>1.0</v>
      </c>
      <c r="K62" s="17" t="s">
        <v>376</v>
      </c>
      <c r="L62" s="16">
        <v>1.0</v>
      </c>
      <c r="M62" s="17" t="s">
        <v>377</v>
      </c>
      <c r="N62" s="16">
        <v>1.0</v>
      </c>
      <c r="O62" s="17" t="s">
        <v>378</v>
      </c>
      <c r="P62" s="16">
        <v>1.0</v>
      </c>
      <c r="Q62" s="17" t="s">
        <v>60</v>
      </c>
      <c r="R62" s="16">
        <v>1.0</v>
      </c>
      <c r="S62" s="17" t="s">
        <v>379</v>
      </c>
      <c r="T62" s="18"/>
      <c r="U62" s="28" t="s">
        <v>380</v>
      </c>
      <c r="V62" s="20"/>
      <c r="W62" s="20"/>
      <c r="X62" s="20"/>
      <c r="Y62" s="20"/>
      <c r="Z62" s="20"/>
      <c r="AA62" s="20"/>
      <c r="AB62" s="20"/>
      <c r="AC62" s="20"/>
      <c r="AD62" s="20"/>
      <c r="AE62" s="20"/>
      <c r="AF62" s="20"/>
      <c r="AG62" s="20"/>
      <c r="AH62" s="20"/>
      <c r="AI62" s="20"/>
    </row>
    <row r="63">
      <c r="A63" s="23">
        <v>981.0</v>
      </c>
      <c r="B63" s="10" t="s">
        <v>381</v>
      </c>
      <c r="C63" s="11">
        <v>45216.0</v>
      </c>
      <c r="D63" s="12" t="s">
        <v>17</v>
      </c>
      <c r="E63" s="13">
        <v>45660.0</v>
      </c>
      <c r="F63" s="14">
        <v>1.0</v>
      </c>
      <c r="G63" s="14" t="s">
        <v>155</v>
      </c>
      <c r="H63" s="16">
        <v>1.0</v>
      </c>
      <c r="I63" s="17" t="s">
        <v>382</v>
      </c>
      <c r="J63" s="16">
        <v>1.0</v>
      </c>
      <c r="K63" s="17" t="s">
        <v>383</v>
      </c>
      <c r="L63" s="16">
        <v>1.0</v>
      </c>
      <c r="M63" s="17" t="s">
        <v>384</v>
      </c>
      <c r="N63" s="16">
        <v>1.0</v>
      </c>
      <c r="O63" s="17" t="s">
        <v>385</v>
      </c>
      <c r="P63" s="16">
        <v>1.0</v>
      </c>
      <c r="Q63" s="18"/>
      <c r="R63" s="16">
        <v>1.0</v>
      </c>
      <c r="S63" s="18"/>
      <c r="T63" s="18"/>
      <c r="U63" s="28" t="s">
        <v>386</v>
      </c>
      <c r="V63" s="20"/>
      <c r="W63" s="20"/>
      <c r="X63" s="20"/>
      <c r="Y63" s="20"/>
      <c r="Z63" s="20"/>
      <c r="AA63" s="20"/>
      <c r="AB63" s="20"/>
      <c r="AC63" s="20"/>
      <c r="AD63" s="20"/>
      <c r="AE63" s="20"/>
      <c r="AF63" s="20"/>
      <c r="AG63" s="20"/>
      <c r="AH63" s="20"/>
      <c r="AI63" s="20"/>
    </row>
    <row r="64">
      <c r="A64" s="9">
        <v>985.0</v>
      </c>
      <c r="B64" s="22" t="s">
        <v>387</v>
      </c>
      <c r="C64" s="11">
        <v>45227.0</v>
      </c>
      <c r="D64" s="12" t="s">
        <v>17</v>
      </c>
      <c r="E64" s="13">
        <v>45660.0</v>
      </c>
      <c r="F64" s="15"/>
      <c r="G64" s="15"/>
      <c r="H64" s="16">
        <v>1.0</v>
      </c>
      <c r="I64" s="17" t="s">
        <v>388</v>
      </c>
      <c r="J64" s="16">
        <v>1.0</v>
      </c>
      <c r="K64" s="17" t="s">
        <v>389</v>
      </c>
      <c r="L64" s="16">
        <v>1.0</v>
      </c>
      <c r="M64" s="17" t="s">
        <v>390</v>
      </c>
      <c r="N64" s="16">
        <v>0.0</v>
      </c>
      <c r="O64" s="18"/>
      <c r="P64" s="16">
        <v>1.0</v>
      </c>
      <c r="Q64" s="18"/>
      <c r="R64" s="16">
        <v>0.0</v>
      </c>
      <c r="S64" s="18"/>
      <c r="T64" s="18"/>
      <c r="U64" s="21" t="s">
        <v>391</v>
      </c>
      <c r="V64" s="20"/>
      <c r="W64" s="20"/>
      <c r="X64" s="20"/>
      <c r="Y64" s="20"/>
      <c r="Z64" s="20"/>
      <c r="AA64" s="20"/>
      <c r="AB64" s="20"/>
      <c r="AC64" s="20"/>
      <c r="AD64" s="20"/>
      <c r="AE64" s="20"/>
      <c r="AF64" s="20"/>
      <c r="AG64" s="20"/>
      <c r="AH64" s="20"/>
      <c r="AI64" s="20"/>
    </row>
    <row r="65">
      <c r="A65" s="23">
        <v>997.0</v>
      </c>
      <c r="B65" s="10" t="s">
        <v>392</v>
      </c>
      <c r="C65" s="11">
        <v>45216.0</v>
      </c>
      <c r="D65" s="12" t="s">
        <v>17</v>
      </c>
      <c r="E65" s="13">
        <v>45660.0</v>
      </c>
      <c r="F65" s="14">
        <v>0.0</v>
      </c>
      <c r="G65" s="15"/>
      <c r="H65" s="16">
        <v>1.0</v>
      </c>
      <c r="I65" s="17" t="s">
        <v>393</v>
      </c>
      <c r="J65" s="16">
        <v>1.0</v>
      </c>
      <c r="K65" s="17" t="s">
        <v>394</v>
      </c>
      <c r="L65" s="16" t="s">
        <v>266</v>
      </c>
      <c r="M65" s="17" t="s">
        <v>267</v>
      </c>
      <c r="N65" s="16" t="s">
        <v>266</v>
      </c>
      <c r="O65" s="17" t="s">
        <v>267</v>
      </c>
      <c r="P65" s="16" t="s">
        <v>266</v>
      </c>
      <c r="Q65" s="17" t="s">
        <v>267</v>
      </c>
      <c r="R65" s="16" t="s">
        <v>266</v>
      </c>
      <c r="S65" s="17" t="s">
        <v>267</v>
      </c>
      <c r="T65" s="17" t="s">
        <v>267</v>
      </c>
      <c r="U65" s="33" t="s">
        <v>266</v>
      </c>
      <c r="V65" s="20"/>
      <c r="W65" s="20"/>
      <c r="X65" s="20"/>
      <c r="Y65" s="20"/>
      <c r="Z65" s="20"/>
      <c r="AA65" s="20"/>
      <c r="AB65" s="20"/>
      <c r="AC65" s="20"/>
      <c r="AD65" s="20"/>
      <c r="AE65" s="20"/>
      <c r="AF65" s="20"/>
      <c r="AG65" s="20"/>
      <c r="AH65" s="20"/>
      <c r="AI65" s="20"/>
    </row>
    <row r="66">
      <c r="A66" s="9">
        <v>1013.0</v>
      </c>
      <c r="B66" s="10" t="s">
        <v>395</v>
      </c>
      <c r="C66" s="11">
        <v>45228.0</v>
      </c>
      <c r="D66" s="12" t="s">
        <v>17</v>
      </c>
      <c r="E66" s="13">
        <v>45660.0</v>
      </c>
      <c r="F66" s="14">
        <v>1.0</v>
      </c>
      <c r="G66" s="14" t="s">
        <v>22</v>
      </c>
      <c r="H66" s="16">
        <v>1.0</v>
      </c>
      <c r="I66" s="17" t="s">
        <v>396</v>
      </c>
      <c r="J66" s="16">
        <v>1.0</v>
      </c>
      <c r="K66" s="17" t="s">
        <v>397</v>
      </c>
      <c r="L66" s="16">
        <v>1.0</v>
      </c>
      <c r="M66" s="17" t="s">
        <v>398</v>
      </c>
      <c r="N66" s="16">
        <v>0.0</v>
      </c>
      <c r="O66" s="18"/>
      <c r="P66" s="16">
        <v>1.0</v>
      </c>
      <c r="Q66" s="18"/>
      <c r="R66" s="16">
        <v>0.0</v>
      </c>
      <c r="S66" s="18"/>
      <c r="T66" s="18"/>
      <c r="U66" s="21" t="s">
        <v>399</v>
      </c>
      <c r="V66" s="20"/>
      <c r="W66" s="20"/>
      <c r="X66" s="20"/>
      <c r="Y66" s="20"/>
      <c r="Z66" s="20"/>
      <c r="AA66" s="20"/>
      <c r="AB66" s="20"/>
      <c r="AC66" s="20"/>
      <c r="AD66" s="20"/>
      <c r="AE66" s="20"/>
      <c r="AF66" s="20"/>
      <c r="AG66" s="20"/>
      <c r="AH66" s="20"/>
      <c r="AI66" s="20"/>
    </row>
    <row r="67">
      <c r="A67" s="9">
        <v>1016.0</v>
      </c>
      <c r="B67" s="22" t="s">
        <v>400</v>
      </c>
      <c r="C67" s="24">
        <v>45233.0</v>
      </c>
      <c r="D67" s="12" t="s">
        <v>30</v>
      </c>
      <c r="E67" s="13">
        <v>45660.0</v>
      </c>
      <c r="F67" s="14">
        <v>1.0</v>
      </c>
      <c r="G67" s="14" t="s">
        <v>281</v>
      </c>
      <c r="H67" s="16">
        <v>1.0</v>
      </c>
      <c r="I67" s="17" t="s">
        <v>401</v>
      </c>
      <c r="J67" s="16">
        <v>1.0</v>
      </c>
      <c r="K67" s="17" t="s">
        <v>402</v>
      </c>
      <c r="L67" s="16">
        <v>1.0</v>
      </c>
      <c r="M67" s="17" t="s">
        <v>403</v>
      </c>
      <c r="N67" s="16">
        <v>1.0</v>
      </c>
      <c r="O67" s="18"/>
      <c r="P67" s="16">
        <v>1.0</v>
      </c>
      <c r="Q67" s="18"/>
      <c r="R67" s="16">
        <v>0.0</v>
      </c>
      <c r="S67" s="18"/>
      <c r="T67" s="18"/>
      <c r="U67" s="28" t="s">
        <v>404</v>
      </c>
      <c r="V67" s="20"/>
      <c r="W67" s="20"/>
      <c r="X67" s="20"/>
      <c r="Y67" s="20"/>
      <c r="Z67" s="20"/>
      <c r="AA67" s="20"/>
      <c r="AB67" s="20"/>
      <c r="AC67" s="20"/>
      <c r="AD67" s="20"/>
      <c r="AE67" s="20"/>
      <c r="AF67" s="20"/>
      <c r="AG67" s="20"/>
      <c r="AH67" s="20"/>
      <c r="AI67" s="20"/>
    </row>
    <row r="68">
      <c r="A68" s="23">
        <v>1018.0</v>
      </c>
      <c r="B68" s="22" t="s">
        <v>405</v>
      </c>
      <c r="C68" s="11">
        <v>45216.0</v>
      </c>
      <c r="D68" s="12" t="s">
        <v>30</v>
      </c>
      <c r="E68" s="13">
        <v>45660.0</v>
      </c>
      <c r="F68" s="14">
        <v>0.0</v>
      </c>
      <c r="G68" s="15"/>
      <c r="H68" s="16">
        <v>1.0</v>
      </c>
      <c r="I68" s="17" t="s">
        <v>406</v>
      </c>
      <c r="J68" s="16">
        <v>1.0</v>
      </c>
      <c r="K68" s="17" t="s">
        <v>406</v>
      </c>
      <c r="L68" s="16">
        <v>1.0</v>
      </c>
      <c r="M68" s="17" t="s">
        <v>407</v>
      </c>
      <c r="N68" s="16">
        <v>1.0</v>
      </c>
      <c r="O68" s="17" t="s">
        <v>408</v>
      </c>
      <c r="P68" s="16">
        <v>1.0</v>
      </c>
      <c r="Q68" s="18"/>
      <c r="R68" s="16">
        <v>0.0</v>
      </c>
      <c r="S68" s="18"/>
      <c r="T68" s="18"/>
      <c r="U68" s="28" t="s">
        <v>409</v>
      </c>
      <c r="V68" s="20"/>
      <c r="W68" s="20"/>
      <c r="X68" s="20"/>
      <c r="Y68" s="20"/>
      <c r="Z68" s="20"/>
      <c r="AA68" s="20"/>
      <c r="AB68" s="20"/>
      <c r="AC68" s="20"/>
      <c r="AD68" s="20"/>
      <c r="AE68" s="20"/>
      <c r="AF68" s="20"/>
      <c r="AG68" s="20"/>
      <c r="AH68" s="20"/>
      <c r="AI68" s="20"/>
    </row>
    <row r="69">
      <c r="A69" s="9">
        <v>1061.0</v>
      </c>
      <c r="B69" s="10" t="s">
        <v>410</v>
      </c>
      <c r="C69" s="11">
        <v>45227.0</v>
      </c>
      <c r="D69" s="12" t="s">
        <v>17</v>
      </c>
      <c r="E69" s="13">
        <v>45660.0</v>
      </c>
      <c r="F69" s="14">
        <v>0.0</v>
      </c>
      <c r="G69" s="15"/>
      <c r="H69" s="16">
        <v>1.0</v>
      </c>
      <c r="I69" s="17" t="s">
        <v>411</v>
      </c>
      <c r="J69" s="16">
        <v>1.0</v>
      </c>
      <c r="K69" s="17" t="s">
        <v>412</v>
      </c>
      <c r="L69" s="16">
        <v>1.0</v>
      </c>
      <c r="M69" s="17" t="s">
        <v>413</v>
      </c>
      <c r="N69" s="16">
        <v>0.0</v>
      </c>
      <c r="O69" s="18"/>
      <c r="P69" s="16">
        <v>1.0</v>
      </c>
      <c r="Q69" s="18"/>
      <c r="R69" s="16">
        <v>0.0</v>
      </c>
      <c r="S69" s="18"/>
      <c r="T69" s="18"/>
      <c r="U69" s="21" t="s">
        <v>414</v>
      </c>
      <c r="V69" s="20"/>
      <c r="W69" s="20"/>
      <c r="X69" s="20"/>
      <c r="Y69" s="20"/>
      <c r="Z69" s="20"/>
      <c r="AA69" s="20"/>
      <c r="AB69" s="20"/>
      <c r="AC69" s="20"/>
      <c r="AD69" s="20"/>
      <c r="AE69" s="20"/>
      <c r="AF69" s="20"/>
      <c r="AG69" s="20"/>
      <c r="AH69" s="20"/>
      <c r="AI69" s="20"/>
    </row>
    <row r="70">
      <c r="A70" s="9">
        <v>1075.0</v>
      </c>
      <c r="B70" s="10" t="s">
        <v>415</v>
      </c>
      <c r="C70" s="24">
        <v>45233.0</v>
      </c>
      <c r="D70" s="12" t="s">
        <v>30</v>
      </c>
      <c r="E70" s="13">
        <v>45660.0</v>
      </c>
      <c r="F70" s="14">
        <v>0.0</v>
      </c>
      <c r="G70" s="15"/>
      <c r="H70" s="16">
        <v>1.0</v>
      </c>
      <c r="I70" s="17" t="s">
        <v>416</v>
      </c>
      <c r="J70" s="16">
        <v>1.0</v>
      </c>
      <c r="K70" s="17" t="s">
        <v>417</v>
      </c>
      <c r="L70" s="16">
        <v>1.0</v>
      </c>
      <c r="M70" s="17" t="s">
        <v>416</v>
      </c>
      <c r="N70" s="16">
        <v>0.0</v>
      </c>
      <c r="O70" s="18"/>
      <c r="P70" s="16">
        <v>1.0</v>
      </c>
      <c r="Q70" s="18"/>
      <c r="R70" s="16">
        <v>0.0</v>
      </c>
      <c r="S70" s="18"/>
      <c r="T70" s="18"/>
      <c r="U70" s="21" t="s">
        <v>418</v>
      </c>
      <c r="V70" s="20"/>
      <c r="W70" s="20"/>
      <c r="X70" s="20"/>
      <c r="Y70" s="20"/>
      <c r="Z70" s="20"/>
      <c r="AA70" s="20"/>
      <c r="AB70" s="20"/>
      <c r="AC70" s="20"/>
      <c r="AD70" s="20"/>
      <c r="AE70" s="20"/>
      <c r="AF70" s="20"/>
      <c r="AG70" s="20"/>
      <c r="AH70" s="20"/>
      <c r="AI70" s="20"/>
    </row>
    <row r="71">
      <c r="A71" s="23">
        <v>1081.0</v>
      </c>
      <c r="B71" s="22" t="s">
        <v>419</v>
      </c>
      <c r="C71" s="11">
        <v>45215.0</v>
      </c>
      <c r="D71" s="12" t="s">
        <v>30</v>
      </c>
      <c r="E71" s="13">
        <v>45660.0</v>
      </c>
      <c r="F71" s="14">
        <v>1.0</v>
      </c>
      <c r="G71" s="14" t="s">
        <v>420</v>
      </c>
      <c r="H71" s="16">
        <v>1.0</v>
      </c>
      <c r="I71" s="17" t="s">
        <v>421</v>
      </c>
      <c r="J71" s="16">
        <v>1.0</v>
      </c>
      <c r="K71" s="17" t="s">
        <v>422</v>
      </c>
      <c r="L71" s="16">
        <v>1.0</v>
      </c>
      <c r="M71" s="17" t="s">
        <v>423</v>
      </c>
      <c r="N71" s="16">
        <v>0.0</v>
      </c>
      <c r="O71" s="18"/>
      <c r="P71" s="16">
        <v>1.0</v>
      </c>
      <c r="Q71" s="18"/>
      <c r="R71" s="16">
        <v>0.0</v>
      </c>
      <c r="S71" s="18"/>
      <c r="T71" s="18"/>
      <c r="U71" s="21" t="s">
        <v>424</v>
      </c>
      <c r="V71" s="20"/>
      <c r="W71" s="20"/>
      <c r="X71" s="20"/>
      <c r="Y71" s="20"/>
      <c r="Z71" s="20"/>
      <c r="AA71" s="20"/>
      <c r="AB71" s="20"/>
      <c r="AC71" s="20"/>
      <c r="AD71" s="20"/>
      <c r="AE71" s="20"/>
      <c r="AF71" s="20"/>
      <c r="AG71" s="20"/>
      <c r="AH71" s="20"/>
      <c r="AI71" s="20"/>
    </row>
    <row r="72">
      <c r="A72" s="34"/>
      <c r="B72" s="34" t="s">
        <v>425</v>
      </c>
      <c r="C72" s="35"/>
      <c r="D72" s="35"/>
      <c r="E72" s="35"/>
      <c r="F72" s="34" t="s">
        <v>426</v>
      </c>
      <c r="G72" s="35"/>
      <c r="H72" s="34" t="s">
        <v>427</v>
      </c>
      <c r="I72" s="35"/>
      <c r="J72" s="34" t="s">
        <v>428</v>
      </c>
      <c r="K72" s="35"/>
      <c r="L72" s="34" t="s">
        <v>429</v>
      </c>
      <c r="M72" s="35"/>
      <c r="N72" s="34" t="s">
        <v>430</v>
      </c>
      <c r="O72" s="35"/>
      <c r="P72" s="34" t="s">
        <v>431</v>
      </c>
      <c r="Q72" s="35"/>
      <c r="R72" s="34" t="s">
        <v>432</v>
      </c>
      <c r="S72" s="35"/>
      <c r="T72" s="35"/>
      <c r="U72" s="35"/>
      <c r="V72" s="20"/>
      <c r="W72" s="20"/>
      <c r="X72" s="20"/>
      <c r="Y72" s="20"/>
      <c r="Z72" s="20"/>
      <c r="AA72" s="20"/>
      <c r="AB72" s="20"/>
      <c r="AC72" s="20"/>
      <c r="AD72" s="20"/>
      <c r="AE72" s="20"/>
      <c r="AF72" s="20"/>
      <c r="AG72" s="20"/>
      <c r="AH72" s="20"/>
      <c r="AI72" s="20"/>
    </row>
    <row r="73">
      <c r="A73" s="34" t="s">
        <v>433</v>
      </c>
      <c r="B73" s="35">
        <f>COUNTIF(B1:B71,"&lt;&gt;") - 1</f>
        <v>70</v>
      </c>
      <c r="C73" s="35"/>
      <c r="D73" s="35"/>
      <c r="E73" s="35"/>
      <c r="F73" s="35">
        <f>COUNTIF(F2:F71,"1")</f>
        <v>15</v>
      </c>
      <c r="G73" s="35"/>
      <c r="H73" s="35">
        <f>COUNTIF(H2:H71,"1")</f>
        <v>65</v>
      </c>
      <c r="I73" s="35"/>
      <c r="J73" s="35">
        <f>COUNTIF(J2:J71,"1")</f>
        <v>61</v>
      </c>
      <c r="K73" s="35"/>
      <c r="L73" s="35">
        <f>COUNTIF(L2:L71,"1")</f>
        <v>63</v>
      </c>
      <c r="M73" s="35"/>
      <c r="N73" s="35">
        <f>COUNTIF(N2:N71,"1")</f>
        <v>39</v>
      </c>
      <c r="O73" s="35"/>
      <c r="P73" s="35">
        <f>COUNTIF(P2:P71,"1")</f>
        <v>63</v>
      </c>
      <c r="Q73" s="35"/>
      <c r="R73" s="35">
        <f>COUNTIF(R2:R71,"1")</f>
        <v>15</v>
      </c>
      <c r="S73" s="35"/>
      <c r="T73" s="35"/>
      <c r="U73" s="35"/>
      <c r="V73" s="20"/>
      <c r="W73" s="20"/>
      <c r="X73" s="20"/>
      <c r="Y73" s="20"/>
      <c r="Z73" s="20"/>
      <c r="AA73" s="20"/>
      <c r="AB73" s="20"/>
      <c r="AC73" s="20"/>
      <c r="AD73" s="20"/>
      <c r="AE73" s="20"/>
      <c r="AF73" s="20"/>
      <c r="AG73" s="20"/>
      <c r="AH73" s="20"/>
      <c r="AI73" s="20"/>
    </row>
    <row r="74">
      <c r="A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row>
    <row r="76">
      <c r="A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row>
    <row r="77">
      <c r="A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row>
    <row r="78">
      <c r="A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row>
    <row r="79">
      <c r="A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row>
    <row r="80">
      <c r="A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row>
    <row r="81">
      <c r="A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row>
    <row r="82">
      <c r="A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row>
    <row r="83">
      <c r="A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row>
    <row r="84">
      <c r="A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row>
    <row r="85">
      <c r="A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row>
    <row r="86">
      <c r="A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row>
    <row r="88">
      <c r="A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row>
    <row r="89">
      <c r="A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row>
    <row r="90">
      <c r="A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row>
    <row r="91">
      <c r="A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row>
    <row r="92">
      <c r="A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row>
    <row r="93">
      <c r="A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row>
    <row r="94">
      <c r="A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row>
    <row r="95">
      <c r="A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row>
    <row r="96">
      <c r="A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row>
    <row r="97">
      <c r="A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row>
    <row r="98">
      <c r="A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row>
    <row r="99">
      <c r="A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row>
    <row r="100">
      <c r="A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row>
    <row r="101">
      <c r="A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row>
    <row r="102">
      <c r="A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row>
    <row r="103">
      <c r="A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row>
    <row r="104">
      <c r="A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row>
    <row r="105">
      <c r="A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row>
    <row r="106">
      <c r="A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row>
    <row r="107">
      <c r="A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row>
    <row r="108">
      <c r="A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row>
    <row r="109">
      <c r="A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row>
    <row r="110">
      <c r="A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row>
    <row r="111">
      <c r="A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row>
    <row r="112">
      <c r="A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row>
    <row r="113">
      <c r="A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row>
    <row r="114">
      <c r="A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row>
    <row r="115">
      <c r="A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row>
    <row r="116">
      <c r="A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row>
    <row r="117">
      <c r="A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row>
    <row r="118">
      <c r="A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row>
    <row r="119">
      <c r="A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row>
  </sheetData>
  <hyperlinks>
    <hyperlink r:id="rId1" ref="B2"/>
    <hyperlink r:id="rId2" ref="B3"/>
    <hyperlink r:id="rId3" ref="U3"/>
    <hyperlink r:id="rId4" ref="B4"/>
    <hyperlink r:id="rId5" ref="U4"/>
    <hyperlink r:id="rId6" ref="B5"/>
    <hyperlink r:id="rId7" ref="K5"/>
    <hyperlink r:id="rId8" ref="U5"/>
    <hyperlink r:id="rId9" ref="B6"/>
    <hyperlink r:id="rId10" ref="U6"/>
    <hyperlink r:id="rId11" ref="B7"/>
    <hyperlink r:id="rId12" ref="O7"/>
    <hyperlink r:id="rId13" ref="T7"/>
    <hyperlink r:id="rId14" ref="U7"/>
    <hyperlink r:id="rId15" ref="B8"/>
    <hyperlink r:id="rId16" ref="B9"/>
    <hyperlink r:id="rId17" ref="U9"/>
    <hyperlink r:id="rId18" ref="B10"/>
    <hyperlink r:id="rId19" ref="U10"/>
    <hyperlink r:id="rId20" ref="B11"/>
    <hyperlink r:id="rId21" ref="B12"/>
    <hyperlink r:id="rId22" ref="U12"/>
    <hyperlink r:id="rId23" ref="B13"/>
    <hyperlink r:id="rId24" ref="B14"/>
    <hyperlink r:id="rId25" ref="U14"/>
    <hyperlink r:id="rId26" ref="B15"/>
    <hyperlink r:id="rId27" ref="U15"/>
    <hyperlink r:id="rId28" ref="B16"/>
    <hyperlink r:id="rId29" ref="U16"/>
    <hyperlink r:id="rId30" ref="B17"/>
    <hyperlink r:id="rId31" ref="B18"/>
    <hyperlink r:id="rId32" ref="U18"/>
    <hyperlink r:id="rId33" ref="B19"/>
    <hyperlink r:id="rId34" location="info_we_share" ref="U19"/>
    <hyperlink r:id="rId35" ref="B20"/>
    <hyperlink r:id="rId36" ref="U20"/>
    <hyperlink r:id="rId37" ref="B21"/>
    <hyperlink r:id="rId38" ref="B22"/>
    <hyperlink r:id="rId39" ref="U22"/>
    <hyperlink r:id="rId40" ref="B23"/>
    <hyperlink r:id="rId41" location="h_2350869264351608142954940" ref="U23"/>
    <hyperlink r:id="rId42" ref="B24"/>
    <hyperlink r:id="rId43" ref="O24"/>
    <hyperlink r:id="rId44" ref="U24"/>
    <hyperlink r:id="rId45" ref="B25"/>
    <hyperlink r:id="rId46" location="california" ref="U25"/>
    <hyperlink r:id="rId47" ref="B26"/>
    <hyperlink r:id="rId48" ref="U26"/>
    <hyperlink r:id="rId49" ref="B27"/>
    <hyperlink r:id="rId50" ref="U27"/>
    <hyperlink r:id="rId51" ref="B28"/>
    <hyperlink r:id="rId52" ref="U28"/>
    <hyperlink r:id="rId53" ref="B29"/>
    <hyperlink r:id="rId54" ref="U29"/>
    <hyperlink r:id="rId55" ref="B30"/>
    <hyperlink r:id="rId56" ref="U30"/>
    <hyperlink r:id="rId57" ref="B31"/>
    <hyperlink r:id="rId58" ref="U31"/>
    <hyperlink r:id="rId59" ref="B32"/>
    <hyperlink r:id="rId60" ref="U32"/>
    <hyperlink r:id="rId61" ref="B33"/>
    <hyperlink r:id="rId62" ref="U33"/>
    <hyperlink r:id="rId63" ref="B34"/>
    <hyperlink r:id="rId64" ref="S34"/>
    <hyperlink r:id="rId65" ref="U34"/>
    <hyperlink r:id="rId66" ref="B35"/>
    <hyperlink r:id="rId67" ref="U35"/>
    <hyperlink r:id="rId68" ref="B36"/>
    <hyperlink r:id="rId69" ref="U36"/>
    <hyperlink r:id="rId70" ref="B37"/>
    <hyperlink r:id="rId71" ref="U37"/>
    <hyperlink r:id="rId72" ref="B38"/>
    <hyperlink r:id="rId73" ref="U38"/>
    <hyperlink r:id="rId74" ref="B39"/>
    <hyperlink r:id="rId75" ref="B40"/>
    <hyperlink r:id="rId76" ref="U40"/>
    <hyperlink r:id="rId77" ref="B41"/>
    <hyperlink r:id="rId78" ref="U41"/>
    <hyperlink r:id="rId79" ref="B42"/>
    <hyperlink r:id="rId80" ref="U42"/>
    <hyperlink r:id="rId81" ref="B43"/>
    <hyperlink r:id="rId82" ref="B44"/>
    <hyperlink r:id="rId83" ref="U44"/>
    <hyperlink r:id="rId84" ref="B45"/>
    <hyperlink r:id="rId85" ref="U45"/>
    <hyperlink r:id="rId86" ref="B46"/>
    <hyperlink r:id="rId87" ref="U46"/>
    <hyperlink r:id="rId88" ref="B47"/>
    <hyperlink r:id="rId89" ref="U47"/>
    <hyperlink r:id="rId90" ref="B48"/>
    <hyperlink r:id="rId91" ref="U48"/>
    <hyperlink r:id="rId92" ref="B49"/>
    <hyperlink r:id="rId93" ref="U49"/>
    <hyperlink r:id="rId94" ref="B50"/>
    <hyperlink r:id="rId95" ref="U50"/>
    <hyperlink r:id="rId96" ref="B51"/>
    <hyperlink r:id="rId97" ref="U51"/>
    <hyperlink r:id="rId98" ref="B52"/>
    <hyperlink r:id="rId99" ref="S52"/>
    <hyperlink r:id="rId100" ref="U52"/>
    <hyperlink r:id="rId101" ref="B53"/>
    <hyperlink r:id="rId102" ref="U53"/>
    <hyperlink r:id="rId103" ref="B54"/>
    <hyperlink r:id="rId104" ref="U54"/>
    <hyperlink r:id="rId105" ref="B55"/>
    <hyperlink r:id="rId106" ref="T55"/>
    <hyperlink r:id="rId107" ref="U55"/>
    <hyperlink r:id="rId108" ref="B56"/>
    <hyperlink r:id="rId109" ref="U56"/>
    <hyperlink r:id="rId110" ref="B57"/>
    <hyperlink r:id="rId111" ref="U57"/>
    <hyperlink r:id="rId112" ref="B58"/>
    <hyperlink r:id="rId113" ref="U58"/>
    <hyperlink r:id="rId114" ref="B59"/>
    <hyperlink r:id="rId115" ref="U59"/>
    <hyperlink r:id="rId116" ref="B60"/>
    <hyperlink r:id="rId117" ref="U60"/>
    <hyperlink r:id="rId118" ref="B61"/>
    <hyperlink r:id="rId119" ref="U61"/>
    <hyperlink r:id="rId120" ref="B62"/>
    <hyperlink r:id="rId121" ref="U62"/>
    <hyperlink r:id="rId122" ref="B63"/>
    <hyperlink r:id="rId123" ref="U63"/>
    <hyperlink r:id="rId124" ref="B64"/>
    <hyperlink r:id="rId125" ref="U64"/>
    <hyperlink r:id="rId126" ref="B65"/>
    <hyperlink r:id="rId127" ref="B66"/>
    <hyperlink r:id="rId128" ref="U66"/>
    <hyperlink r:id="rId129" ref="B67"/>
    <hyperlink r:id="rId130" ref="U67"/>
    <hyperlink r:id="rId131" ref="B68"/>
    <hyperlink r:id="rId132" location="California-Residents" ref="U68"/>
    <hyperlink r:id="rId133" ref="B69"/>
    <hyperlink r:id="rId134" ref="U69"/>
    <hyperlink r:id="rId135" ref="B70"/>
    <hyperlink r:id="rId136" ref="U70"/>
    <hyperlink r:id="rId137" ref="B71"/>
    <hyperlink r:id="rId138" ref="U71"/>
  </hyperlinks>
  <drawing r:id="rId1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38"/>
    <col customWidth="1" min="2" max="2" width="26.88"/>
    <col customWidth="1" min="3" max="3" width="15.38"/>
    <col customWidth="1" min="4" max="4" width="15.13"/>
    <col customWidth="1" min="5" max="5" width="16.63"/>
    <col customWidth="1" min="6" max="8" width="15.13"/>
    <col customWidth="1" min="9" max="9" width="34.5"/>
    <col customWidth="1" min="10" max="10" width="15.13"/>
    <col customWidth="1" min="11" max="11" width="34.5"/>
    <col customWidth="1" min="12" max="12" width="16.88"/>
    <col customWidth="1" min="13" max="13" width="34.5"/>
    <col customWidth="1" min="14" max="14" width="16.88"/>
    <col customWidth="1" min="15" max="15" width="34.5"/>
    <col customWidth="1" min="16" max="16" width="15.13"/>
    <col customWidth="1" min="17" max="17" width="34.5"/>
    <col customWidth="1" min="18" max="18" width="15.13"/>
    <col customWidth="1" min="19" max="27" width="34.5"/>
  </cols>
  <sheetData>
    <row r="1" ht="82.5" customHeight="1">
      <c r="A1" s="1" t="s">
        <v>0</v>
      </c>
      <c r="B1" s="1" t="s">
        <v>1</v>
      </c>
      <c r="C1" s="2" t="s">
        <v>2</v>
      </c>
      <c r="D1" s="2" t="s">
        <v>3</v>
      </c>
      <c r="E1" s="3" t="s">
        <v>4</v>
      </c>
      <c r="F1" s="4" t="s">
        <v>5</v>
      </c>
      <c r="G1" s="4" t="s">
        <v>6</v>
      </c>
      <c r="H1" s="5" t="s">
        <v>7</v>
      </c>
      <c r="I1" s="6" t="s">
        <v>8</v>
      </c>
      <c r="J1" s="5" t="s">
        <v>9</v>
      </c>
      <c r="K1" s="6" t="s">
        <v>8</v>
      </c>
      <c r="L1" s="5" t="s">
        <v>434</v>
      </c>
      <c r="M1" s="6" t="s">
        <v>8</v>
      </c>
      <c r="N1" s="5" t="s">
        <v>11</v>
      </c>
      <c r="O1" s="6" t="s">
        <v>8</v>
      </c>
      <c r="P1" s="5" t="s">
        <v>12</v>
      </c>
      <c r="Q1" s="6" t="s">
        <v>8</v>
      </c>
      <c r="R1" s="5" t="s">
        <v>13</v>
      </c>
      <c r="S1" s="6" t="s">
        <v>435</v>
      </c>
      <c r="T1" s="6" t="s">
        <v>8</v>
      </c>
      <c r="U1" s="7" t="s">
        <v>436</v>
      </c>
      <c r="V1" s="4" t="s">
        <v>437</v>
      </c>
      <c r="W1" s="4" t="s">
        <v>438</v>
      </c>
      <c r="X1" s="36" t="s">
        <v>439</v>
      </c>
      <c r="Y1" s="4" t="s">
        <v>440</v>
      </c>
      <c r="Z1" s="4" t="s">
        <v>441</v>
      </c>
      <c r="AA1" s="36" t="s">
        <v>442</v>
      </c>
      <c r="AB1" s="8"/>
      <c r="AC1" s="8"/>
      <c r="AD1" s="8"/>
      <c r="AE1" s="8"/>
      <c r="AF1" s="8"/>
      <c r="AG1" s="8"/>
    </row>
    <row r="2">
      <c r="A2" s="23">
        <v>18.0</v>
      </c>
      <c r="B2" s="22" t="s">
        <v>443</v>
      </c>
      <c r="C2" s="24">
        <v>45187.0</v>
      </c>
      <c r="D2" s="12" t="s">
        <v>30</v>
      </c>
      <c r="E2" s="12" t="s">
        <v>266</v>
      </c>
      <c r="F2" s="14">
        <v>1.0</v>
      </c>
      <c r="G2" s="14" t="s">
        <v>444</v>
      </c>
      <c r="H2" s="16">
        <v>1.0</v>
      </c>
      <c r="I2" s="17" t="s">
        <v>445</v>
      </c>
      <c r="J2" s="16">
        <v>1.0</v>
      </c>
      <c r="K2" s="17" t="s">
        <v>446</v>
      </c>
      <c r="L2" s="16">
        <v>1.0</v>
      </c>
      <c r="M2" s="17" t="s">
        <v>447</v>
      </c>
      <c r="N2" s="16">
        <v>1.0</v>
      </c>
      <c r="O2" s="17" t="s">
        <v>448</v>
      </c>
      <c r="P2" s="16">
        <v>1.0</v>
      </c>
      <c r="Q2" s="17" t="s">
        <v>60</v>
      </c>
      <c r="R2" s="16">
        <v>1.0</v>
      </c>
      <c r="S2" s="17" t="s">
        <v>449</v>
      </c>
      <c r="T2" s="17" t="s">
        <v>450</v>
      </c>
      <c r="U2" s="28" t="s">
        <v>451</v>
      </c>
      <c r="V2" s="37">
        <f t="shared" ref="V2:V16" si="1">IF(ISNUMBER(SEARCH("Advertising", G2)), IF(L2 = 1, 1, 0), "")</f>
        <v>1</v>
      </c>
      <c r="W2" s="37">
        <f t="shared" ref="W2:W16" si="2">IF(ISNUMBER(SEARCH("Advertising", G2)), IF(H2 = 1, 1, 0), "")</f>
        <v>1</v>
      </c>
      <c r="X2" s="38">
        <f t="shared" ref="X2:X16" si="3">IF(ISNUMBER(SEARCH("Advertising", G2)), IF(J2 = 1, 1, 0), "")</f>
        <v>1</v>
      </c>
      <c r="Y2" s="39" t="str">
        <f t="shared" ref="Y2:Y16" si="4">IF(ISNUMBER(SEARCH("FingerprintGen", G2)), IF(L2 = 1, 1, 0), "")</f>
        <v/>
      </c>
      <c r="Z2" s="39" t="str">
        <f t="shared" ref="Z2:Z16" si="5">IF(ISNUMBER(SEARCH("FingerprintGen", G2)), IF(H2 = 1, 1, 0), "")</f>
        <v/>
      </c>
      <c r="AA2" s="39" t="str">
        <f t="shared" ref="AA2:AA16" si="6">IF(ISNUMBER(SEARCH("FingerprintGen", G2)), IF(J2 = 1, 1, 0), "")</f>
        <v/>
      </c>
      <c r="AB2" s="20"/>
      <c r="AC2" s="20"/>
      <c r="AD2" s="20"/>
      <c r="AE2" s="20"/>
      <c r="AF2" s="20"/>
      <c r="AG2" s="20"/>
    </row>
    <row r="3">
      <c r="A3" s="23">
        <v>24.0</v>
      </c>
      <c r="B3" s="10" t="s">
        <v>452</v>
      </c>
      <c r="C3" s="11">
        <v>45188.0</v>
      </c>
      <c r="D3" s="12" t="s">
        <v>17</v>
      </c>
      <c r="E3" s="12" t="s">
        <v>266</v>
      </c>
      <c r="F3" s="14">
        <v>0.0</v>
      </c>
      <c r="G3" s="15"/>
      <c r="H3" s="16">
        <v>1.0</v>
      </c>
      <c r="I3" s="17" t="s">
        <v>453</v>
      </c>
      <c r="J3" s="16">
        <v>1.0</v>
      </c>
      <c r="K3" s="17" t="s">
        <v>454</v>
      </c>
      <c r="L3" s="16">
        <v>0.0</v>
      </c>
      <c r="M3" s="17" t="s">
        <v>455</v>
      </c>
      <c r="N3" s="16">
        <v>0.0</v>
      </c>
      <c r="O3" s="18"/>
      <c r="P3" s="32"/>
      <c r="Q3" s="18"/>
      <c r="R3" s="32"/>
      <c r="S3" s="18"/>
      <c r="T3" s="18"/>
      <c r="U3" s="21" t="s">
        <v>456</v>
      </c>
      <c r="V3" s="37" t="str">
        <f t="shared" si="1"/>
        <v/>
      </c>
      <c r="W3" s="37" t="str">
        <f t="shared" si="2"/>
        <v/>
      </c>
      <c r="X3" s="38" t="str">
        <f t="shared" si="3"/>
        <v/>
      </c>
      <c r="Y3" s="39" t="str">
        <f t="shared" si="4"/>
        <v/>
      </c>
      <c r="Z3" s="39" t="str">
        <f t="shared" si="5"/>
        <v/>
      </c>
      <c r="AA3" s="39" t="str">
        <f t="shared" si="6"/>
        <v/>
      </c>
      <c r="AB3" s="20"/>
      <c r="AC3" s="20"/>
      <c r="AD3" s="20"/>
      <c r="AE3" s="20"/>
      <c r="AF3" s="20"/>
      <c r="AG3" s="20"/>
    </row>
    <row r="4">
      <c r="A4" s="23">
        <v>49.0</v>
      </c>
      <c r="B4" s="10" t="s">
        <v>457</v>
      </c>
      <c r="C4" s="11">
        <v>45188.0</v>
      </c>
      <c r="D4" s="12" t="s">
        <v>17</v>
      </c>
      <c r="E4" s="12" t="s">
        <v>266</v>
      </c>
      <c r="F4" s="14">
        <v>0.0</v>
      </c>
      <c r="G4" s="15"/>
      <c r="H4" s="16">
        <v>1.0</v>
      </c>
      <c r="I4" s="17" t="s">
        <v>458</v>
      </c>
      <c r="J4" s="16">
        <v>1.0</v>
      </c>
      <c r="K4" s="17" t="s">
        <v>459</v>
      </c>
      <c r="L4" s="16">
        <v>1.0</v>
      </c>
      <c r="M4" s="17" t="s">
        <v>460</v>
      </c>
      <c r="N4" s="16">
        <v>1.0</v>
      </c>
      <c r="O4" s="17" t="s">
        <v>461</v>
      </c>
      <c r="P4" s="16">
        <v>1.0</v>
      </c>
      <c r="Q4" s="17" t="s">
        <v>60</v>
      </c>
      <c r="R4" s="16">
        <v>1.0</v>
      </c>
      <c r="S4" s="17" t="s">
        <v>462</v>
      </c>
      <c r="T4" s="18"/>
      <c r="U4" s="21" t="s">
        <v>463</v>
      </c>
      <c r="V4" s="37" t="str">
        <f t="shared" si="1"/>
        <v/>
      </c>
      <c r="W4" s="37" t="str">
        <f t="shared" si="2"/>
        <v/>
      </c>
      <c r="X4" s="38" t="str">
        <f t="shared" si="3"/>
        <v/>
      </c>
      <c r="Y4" s="39" t="str">
        <f t="shared" si="4"/>
        <v/>
      </c>
      <c r="Z4" s="39" t="str">
        <f t="shared" si="5"/>
        <v/>
      </c>
      <c r="AA4" s="39" t="str">
        <f t="shared" si="6"/>
        <v/>
      </c>
      <c r="AB4" s="20"/>
      <c r="AC4" s="20"/>
      <c r="AD4" s="20"/>
      <c r="AE4" s="20"/>
      <c r="AF4" s="20"/>
      <c r="AG4" s="20"/>
    </row>
    <row r="5">
      <c r="A5" s="23">
        <v>53.0</v>
      </c>
      <c r="B5" s="22" t="s">
        <v>464</v>
      </c>
      <c r="C5" s="11">
        <v>45188.0</v>
      </c>
      <c r="D5" s="12" t="s">
        <v>17</v>
      </c>
      <c r="E5" s="12" t="s">
        <v>266</v>
      </c>
      <c r="F5" s="14">
        <v>0.0</v>
      </c>
      <c r="G5" s="15"/>
      <c r="H5" s="16">
        <v>1.0</v>
      </c>
      <c r="I5" s="17" t="s">
        <v>465</v>
      </c>
      <c r="J5" s="16">
        <v>1.0</v>
      </c>
      <c r="K5" s="17" t="s">
        <v>466</v>
      </c>
      <c r="L5" s="16">
        <v>1.0</v>
      </c>
      <c r="M5" s="17" t="s">
        <v>467</v>
      </c>
      <c r="N5" s="16">
        <v>0.0</v>
      </c>
      <c r="O5" s="18"/>
      <c r="P5" s="32"/>
      <c r="Q5" s="18"/>
      <c r="R5" s="32"/>
      <c r="S5" s="18"/>
      <c r="T5" s="18"/>
      <c r="U5" s="21" t="s">
        <v>468</v>
      </c>
      <c r="V5" s="37" t="str">
        <f t="shared" si="1"/>
        <v/>
      </c>
      <c r="W5" s="37" t="str">
        <f t="shared" si="2"/>
        <v/>
      </c>
      <c r="X5" s="38" t="str">
        <f t="shared" si="3"/>
        <v/>
      </c>
      <c r="Y5" s="39" t="str">
        <f t="shared" si="4"/>
        <v/>
      </c>
      <c r="Z5" s="39" t="str">
        <f t="shared" si="5"/>
        <v/>
      </c>
      <c r="AA5" s="39" t="str">
        <f t="shared" si="6"/>
        <v/>
      </c>
      <c r="AB5" s="20"/>
      <c r="AC5" s="20"/>
      <c r="AD5" s="20"/>
      <c r="AE5" s="20"/>
      <c r="AF5" s="20"/>
      <c r="AG5" s="20"/>
    </row>
    <row r="6">
      <c r="A6" s="23">
        <v>64.0</v>
      </c>
      <c r="B6" s="10" t="s">
        <v>469</v>
      </c>
      <c r="C6" s="24">
        <v>45187.0</v>
      </c>
      <c r="D6" s="12" t="s">
        <v>30</v>
      </c>
      <c r="E6" s="12" t="s">
        <v>266</v>
      </c>
      <c r="F6" s="14">
        <v>0.0</v>
      </c>
      <c r="G6" s="15"/>
      <c r="H6" s="16">
        <v>0.0</v>
      </c>
      <c r="I6" s="17"/>
      <c r="J6" s="16">
        <v>0.0</v>
      </c>
      <c r="K6" s="17"/>
      <c r="L6" s="16">
        <v>0.0</v>
      </c>
      <c r="M6" s="17" t="s">
        <v>470</v>
      </c>
      <c r="N6" s="16">
        <v>0.0</v>
      </c>
      <c r="O6" s="18"/>
      <c r="P6" s="16">
        <v>0.0</v>
      </c>
      <c r="Q6" s="18"/>
      <c r="R6" s="16">
        <v>0.0</v>
      </c>
      <c r="S6" s="18"/>
      <c r="T6" s="18"/>
      <c r="U6" s="21" t="s">
        <v>471</v>
      </c>
      <c r="V6" s="37" t="str">
        <f t="shared" si="1"/>
        <v/>
      </c>
      <c r="W6" s="37" t="str">
        <f t="shared" si="2"/>
        <v/>
      </c>
      <c r="X6" s="38" t="str">
        <f t="shared" si="3"/>
        <v/>
      </c>
      <c r="Y6" s="39" t="str">
        <f t="shared" si="4"/>
        <v/>
      </c>
      <c r="Z6" s="39" t="str">
        <f t="shared" si="5"/>
        <v/>
      </c>
      <c r="AA6" s="39" t="str">
        <f t="shared" si="6"/>
        <v/>
      </c>
      <c r="AB6" s="20"/>
      <c r="AC6" s="20"/>
      <c r="AD6" s="20"/>
      <c r="AE6" s="20"/>
      <c r="AF6" s="20"/>
      <c r="AG6" s="20"/>
    </row>
    <row r="7">
      <c r="A7" s="23">
        <v>68.0</v>
      </c>
      <c r="B7" s="10" t="s">
        <v>472</v>
      </c>
      <c r="C7" s="11">
        <v>45188.0</v>
      </c>
      <c r="D7" s="12" t="s">
        <v>17</v>
      </c>
      <c r="E7" s="12" t="s">
        <v>266</v>
      </c>
      <c r="F7" s="14">
        <v>0.0</v>
      </c>
      <c r="G7" s="15"/>
      <c r="H7" s="16">
        <v>0.0</v>
      </c>
      <c r="I7" s="17"/>
      <c r="J7" s="16">
        <v>1.0</v>
      </c>
      <c r="K7" s="17" t="s">
        <v>473</v>
      </c>
      <c r="L7" s="16">
        <v>0.0</v>
      </c>
      <c r="M7" s="17" t="s">
        <v>474</v>
      </c>
      <c r="N7" s="16">
        <v>0.0</v>
      </c>
      <c r="O7" s="18"/>
      <c r="P7" s="32"/>
      <c r="Q7" s="18"/>
      <c r="R7" s="32"/>
      <c r="S7" s="18"/>
      <c r="T7" s="18"/>
      <c r="U7" s="21" t="s">
        <v>475</v>
      </c>
      <c r="V7" s="37" t="str">
        <f t="shared" si="1"/>
        <v/>
      </c>
      <c r="W7" s="37" t="str">
        <f t="shared" si="2"/>
        <v/>
      </c>
      <c r="X7" s="38" t="str">
        <f t="shared" si="3"/>
        <v/>
      </c>
      <c r="Y7" s="39" t="str">
        <f t="shared" si="4"/>
        <v/>
      </c>
      <c r="Z7" s="39" t="str">
        <f t="shared" si="5"/>
        <v/>
      </c>
      <c r="AA7" s="39" t="str">
        <f t="shared" si="6"/>
        <v/>
      </c>
      <c r="AB7" s="20"/>
      <c r="AC7" s="20"/>
      <c r="AD7" s="20"/>
      <c r="AE7" s="20"/>
      <c r="AF7" s="20"/>
      <c r="AG7" s="20"/>
    </row>
    <row r="8">
      <c r="A8" s="23">
        <v>98.0</v>
      </c>
      <c r="B8" s="22" t="s">
        <v>476</v>
      </c>
      <c r="C8" s="24">
        <v>45187.0</v>
      </c>
      <c r="D8" s="12" t="s">
        <v>30</v>
      </c>
      <c r="E8" s="12" t="s">
        <v>266</v>
      </c>
      <c r="F8" s="14">
        <v>1.0</v>
      </c>
      <c r="G8" s="14" t="s">
        <v>477</v>
      </c>
      <c r="H8" s="16">
        <v>1.0</v>
      </c>
      <c r="I8" s="17" t="s">
        <v>478</v>
      </c>
      <c r="J8" s="16">
        <v>1.0</v>
      </c>
      <c r="K8" s="17" t="s">
        <v>479</v>
      </c>
      <c r="L8" s="16">
        <v>0.0</v>
      </c>
      <c r="M8" s="17" t="s">
        <v>480</v>
      </c>
      <c r="N8" s="16">
        <v>0.0</v>
      </c>
      <c r="O8" s="18"/>
      <c r="P8" s="16">
        <v>0.0</v>
      </c>
      <c r="Q8" s="18"/>
      <c r="R8" s="16">
        <v>0.0</v>
      </c>
      <c r="S8" s="18"/>
      <c r="T8" s="18"/>
      <c r="U8" s="29" t="s">
        <v>481</v>
      </c>
      <c r="V8" s="37" t="str">
        <f t="shared" si="1"/>
        <v/>
      </c>
      <c r="W8" s="37" t="str">
        <f t="shared" si="2"/>
        <v/>
      </c>
      <c r="X8" s="38" t="str">
        <f t="shared" si="3"/>
        <v/>
      </c>
      <c r="Y8" s="39" t="str">
        <f t="shared" si="4"/>
        <v/>
      </c>
      <c r="Z8" s="39" t="str">
        <f t="shared" si="5"/>
        <v/>
      </c>
      <c r="AA8" s="39" t="str">
        <f t="shared" si="6"/>
        <v/>
      </c>
      <c r="AB8" s="20"/>
      <c r="AC8" s="20"/>
      <c r="AD8" s="20"/>
      <c r="AE8" s="20"/>
      <c r="AF8" s="20"/>
      <c r="AG8" s="20"/>
    </row>
    <row r="9">
      <c r="A9" s="23">
        <v>115.0</v>
      </c>
      <c r="B9" s="10" t="s">
        <v>482</v>
      </c>
      <c r="C9" s="24">
        <v>45187.0</v>
      </c>
      <c r="D9" s="12" t="s">
        <v>30</v>
      </c>
      <c r="E9" s="12" t="s">
        <v>266</v>
      </c>
      <c r="F9" s="14">
        <v>1.0</v>
      </c>
      <c r="G9" s="14" t="s">
        <v>224</v>
      </c>
      <c r="H9" s="16">
        <v>1.0</v>
      </c>
      <c r="I9" s="17" t="s">
        <v>483</v>
      </c>
      <c r="J9" s="16">
        <v>1.0</v>
      </c>
      <c r="K9" s="17" t="s">
        <v>484</v>
      </c>
      <c r="L9" s="16">
        <v>1.0</v>
      </c>
      <c r="M9" s="17" t="s">
        <v>485</v>
      </c>
      <c r="N9" s="16">
        <v>1.0</v>
      </c>
      <c r="O9" s="17" t="s">
        <v>486</v>
      </c>
      <c r="P9" s="16">
        <v>1.0</v>
      </c>
      <c r="Q9" s="17" t="s">
        <v>215</v>
      </c>
      <c r="R9" s="16">
        <v>0.0</v>
      </c>
      <c r="S9" s="17" t="s">
        <v>487</v>
      </c>
      <c r="T9" s="18"/>
      <c r="U9" s="29" t="s">
        <v>488</v>
      </c>
      <c r="V9" s="37" t="str">
        <f t="shared" si="1"/>
        <v/>
      </c>
      <c r="W9" s="37" t="str">
        <f t="shared" si="2"/>
        <v/>
      </c>
      <c r="X9" s="38" t="str">
        <f t="shared" si="3"/>
        <v/>
      </c>
      <c r="Y9" s="39">
        <f t="shared" si="4"/>
        <v>1</v>
      </c>
      <c r="Z9" s="39">
        <f t="shared" si="5"/>
        <v>1</v>
      </c>
      <c r="AA9" s="39">
        <f t="shared" si="6"/>
        <v>1</v>
      </c>
      <c r="AB9" s="20"/>
      <c r="AC9" s="20"/>
      <c r="AD9" s="20"/>
      <c r="AE9" s="20"/>
      <c r="AF9" s="20"/>
      <c r="AG9" s="20"/>
    </row>
    <row r="10">
      <c r="A10" s="23">
        <v>121.0</v>
      </c>
      <c r="B10" s="10" t="s">
        <v>489</v>
      </c>
      <c r="C10" s="11">
        <v>45188.0</v>
      </c>
      <c r="D10" s="12" t="s">
        <v>17</v>
      </c>
      <c r="E10" s="12" t="s">
        <v>266</v>
      </c>
      <c r="F10" s="14">
        <v>0.0</v>
      </c>
      <c r="G10" s="15"/>
      <c r="H10" s="16">
        <v>1.0</v>
      </c>
      <c r="I10" s="17" t="s">
        <v>490</v>
      </c>
      <c r="J10" s="16">
        <v>1.0</v>
      </c>
      <c r="K10" s="17" t="s">
        <v>491</v>
      </c>
      <c r="L10" s="16">
        <v>0.0</v>
      </c>
      <c r="M10" s="17" t="s">
        <v>492</v>
      </c>
      <c r="N10" s="16">
        <v>0.0</v>
      </c>
      <c r="O10" s="18"/>
      <c r="P10" s="32"/>
      <c r="Q10" s="18"/>
      <c r="R10" s="32"/>
      <c r="S10" s="18"/>
      <c r="T10" s="18"/>
      <c r="U10" s="21" t="s">
        <v>493</v>
      </c>
      <c r="V10" s="37" t="str">
        <f t="shared" si="1"/>
        <v/>
      </c>
      <c r="W10" s="37" t="str">
        <f t="shared" si="2"/>
        <v/>
      </c>
      <c r="X10" s="38" t="str">
        <f t="shared" si="3"/>
        <v/>
      </c>
      <c r="Y10" s="39" t="str">
        <f t="shared" si="4"/>
        <v/>
      </c>
      <c r="Z10" s="39" t="str">
        <f t="shared" si="5"/>
        <v/>
      </c>
      <c r="AA10" s="39" t="str">
        <f t="shared" si="6"/>
        <v/>
      </c>
      <c r="AB10" s="20"/>
      <c r="AC10" s="20"/>
      <c r="AD10" s="20"/>
      <c r="AE10" s="20"/>
      <c r="AF10" s="20"/>
      <c r="AG10" s="20"/>
    </row>
    <row r="11">
      <c r="A11" s="23">
        <v>156.0</v>
      </c>
      <c r="B11" s="22" t="s">
        <v>494</v>
      </c>
      <c r="C11" s="11">
        <v>45188.0</v>
      </c>
      <c r="D11" s="12" t="s">
        <v>17</v>
      </c>
      <c r="E11" s="12" t="s">
        <v>266</v>
      </c>
      <c r="F11" s="14">
        <v>0.0</v>
      </c>
      <c r="G11" s="14"/>
      <c r="H11" s="16">
        <v>0.0</v>
      </c>
      <c r="I11" s="17"/>
      <c r="J11" s="16">
        <v>0.0</v>
      </c>
      <c r="K11" s="17"/>
      <c r="L11" s="16">
        <v>0.0</v>
      </c>
      <c r="M11" s="17" t="s">
        <v>495</v>
      </c>
      <c r="N11" s="16">
        <v>0.0</v>
      </c>
      <c r="O11" s="18"/>
      <c r="P11" s="32"/>
      <c r="Q11" s="18"/>
      <c r="R11" s="32"/>
      <c r="S11" s="18"/>
      <c r="T11" s="18"/>
      <c r="U11" s="21" t="s">
        <v>496</v>
      </c>
      <c r="V11" s="37" t="str">
        <f t="shared" si="1"/>
        <v/>
      </c>
      <c r="W11" s="37" t="str">
        <f t="shared" si="2"/>
        <v/>
      </c>
      <c r="X11" s="38" t="str">
        <f t="shared" si="3"/>
        <v/>
      </c>
      <c r="Y11" s="39" t="str">
        <f t="shared" si="4"/>
        <v/>
      </c>
      <c r="Z11" s="39" t="str">
        <f t="shared" si="5"/>
        <v/>
      </c>
      <c r="AA11" s="39" t="str">
        <f t="shared" si="6"/>
        <v/>
      </c>
      <c r="AB11" s="20"/>
      <c r="AC11" s="20"/>
      <c r="AD11" s="20"/>
      <c r="AE11" s="20"/>
      <c r="AF11" s="20"/>
      <c r="AG11" s="20"/>
    </row>
    <row r="12">
      <c r="A12" s="23">
        <v>157.0</v>
      </c>
      <c r="B12" s="10" t="s">
        <v>497</v>
      </c>
      <c r="C12" s="24">
        <v>45187.0</v>
      </c>
      <c r="D12" s="12" t="s">
        <v>30</v>
      </c>
      <c r="E12" s="12" t="s">
        <v>266</v>
      </c>
      <c r="F12" s="14">
        <v>0.0</v>
      </c>
      <c r="G12" s="15"/>
      <c r="H12" s="16">
        <v>1.0</v>
      </c>
      <c r="I12" s="17" t="s">
        <v>498</v>
      </c>
      <c r="J12" s="16">
        <v>1.0</v>
      </c>
      <c r="K12" s="17" t="s">
        <v>499</v>
      </c>
      <c r="L12" s="16">
        <v>1.0</v>
      </c>
      <c r="M12" s="17" t="s">
        <v>500</v>
      </c>
      <c r="N12" s="16">
        <v>1.0</v>
      </c>
      <c r="O12" s="17" t="s">
        <v>450</v>
      </c>
      <c r="P12" s="16">
        <v>1.0</v>
      </c>
      <c r="Q12" s="17" t="s">
        <v>60</v>
      </c>
      <c r="R12" s="16">
        <v>1.0</v>
      </c>
      <c r="S12" s="17" t="s">
        <v>449</v>
      </c>
      <c r="T12" s="18"/>
      <c r="U12" s="21" t="s">
        <v>501</v>
      </c>
      <c r="V12" s="37" t="str">
        <f t="shared" si="1"/>
        <v/>
      </c>
      <c r="W12" s="37" t="str">
        <f t="shared" si="2"/>
        <v/>
      </c>
      <c r="X12" s="38" t="str">
        <f t="shared" si="3"/>
        <v/>
      </c>
      <c r="Y12" s="39" t="str">
        <f t="shared" si="4"/>
        <v/>
      </c>
      <c r="Z12" s="39" t="str">
        <f t="shared" si="5"/>
        <v/>
      </c>
      <c r="AA12" s="39" t="str">
        <f t="shared" si="6"/>
        <v/>
      </c>
      <c r="AB12" s="20"/>
      <c r="AC12" s="20"/>
      <c r="AD12" s="20"/>
      <c r="AE12" s="20"/>
      <c r="AF12" s="20"/>
      <c r="AG12" s="20"/>
    </row>
    <row r="13">
      <c r="A13" s="23">
        <v>167.0</v>
      </c>
      <c r="B13" s="22" t="s">
        <v>502</v>
      </c>
      <c r="C13" s="24">
        <v>45187.0</v>
      </c>
      <c r="D13" s="12" t="s">
        <v>30</v>
      </c>
      <c r="E13" s="12" t="s">
        <v>266</v>
      </c>
      <c r="F13" s="14">
        <v>1.0</v>
      </c>
      <c r="G13" s="14" t="s">
        <v>503</v>
      </c>
      <c r="H13" s="16">
        <v>1.0</v>
      </c>
      <c r="I13" s="17" t="s">
        <v>504</v>
      </c>
      <c r="J13" s="16">
        <v>1.0</v>
      </c>
      <c r="K13" s="17" t="s">
        <v>505</v>
      </c>
      <c r="L13" s="16">
        <v>1.0</v>
      </c>
      <c r="M13" s="17" t="s">
        <v>506</v>
      </c>
      <c r="N13" s="16">
        <v>1.0</v>
      </c>
      <c r="O13" s="17" t="s">
        <v>507</v>
      </c>
      <c r="P13" s="16">
        <v>1.0</v>
      </c>
      <c r="Q13" s="17" t="s">
        <v>60</v>
      </c>
      <c r="R13" s="16">
        <v>0.0</v>
      </c>
      <c r="S13" s="17" t="s">
        <v>487</v>
      </c>
      <c r="T13" s="18"/>
      <c r="U13" s="28" t="s">
        <v>508</v>
      </c>
      <c r="V13" s="37">
        <f t="shared" si="1"/>
        <v>1</v>
      </c>
      <c r="W13" s="37">
        <f t="shared" si="2"/>
        <v>1</v>
      </c>
      <c r="X13" s="38">
        <f t="shared" si="3"/>
        <v>1</v>
      </c>
      <c r="Y13" s="39" t="str">
        <f t="shared" si="4"/>
        <v/>
      </c>
      <c r="Z13" s="39" t="str">
        <f t="shared" si="5"/>
        <v/>
      </c>
      <c r="AA13" s="39" t="str">
        <f t="shared" si="6"/>
        <v/>
      </c>
      <c r="AB13" s="20" t="str">
        <f>IF(G12 = "*Advertising*", IF(J12 = 1, 1, 0), "")</f>
        <v/>
      </c>
      <c r="AC13" s="20"/>
      <c r="AD13" s="20"/>
      <c r="AE13" s="20"/>
      <c r="AF13" s="20"/>
      <c r="AG13" s="20"/>
    </row>
    <row r="14">
      <c r="A14" s="23">
        <v>175.0</v>
      </c>
      <c r="B14" s="10" t="s">
        <v>509</v>
      </c>
      <c r="C14" s="24">
        <v>45187.0</v>
      </c>
      <c r="D14" s="12" t="s">
        <v>30</v>
      </c>
      <c r="E14" s="12" t="s">
        <v>266</v>
      </c>
      <c r="F14" s="14">
        <v>0.0</v>
      </c>
      <c r="G14" s="15"/>
      <c r="H14" s="16">
        <v>0.0</v>
      </c>
      <c r="I14" s="17"/>
      <c r="J14" s="16">
        <v>0.0</v>
      </c>
      <c r="K14" s="17" t="s">
        <v>510</v>
      </c>
      <c r="L14" s="16">
        <v>0.0</v>
      </c>
      <c r="M14" s="17" t="s">
        <v>511</v>
      </c>
      <c r="N14" s="16">
        <v>0.0</v>
      </c>
      <c r="O14" s="18"/>
      <c r="P14" s="16">
        <v>0.0</v>
      </c>
      <c r="Q14" s="18"/>
      <c r="R14" s="16">
        <v>0.0</v>
      </c>
      <c r="S14" s="18"/>
      <c r="T14" s="18"/>
      <c r="U14" s="28" t="s">
        <v>512</v>
      </c>
      <c r="V14" s="37" t="str">
        <f t="shared" si="1"/>
        <v/>
      </c>
      <c r="W14" s="37" t="str">
        <f t="shared" si="2"/>
        <v/>
      </c>
      <c r="X14" s="38" t="str">
        <f t="shared" si="3"/>
        <v/>
      </c>
      <c r="Y14" s="39" t="str">
        <f t="shared" si="4"/>
        <v/>
      </c>
      <c r="Z14" s="39" t="str">
        <f t="shared" si="5"/>
        <v/>
      </c>
      <c r="AA14" s="39" t="str">
        <f t="shared" si="6"/>
        <v/>
      </c>
      <c r="AB14" s="20"/>
      <c r="AC14" s="20"/>
      <c r="AD14" s="20"/>
      <c r="AE14" s="20"/>
      <c r="AF14" s="20"/>
      <c r="AG14" s="20"/>
    </row>
    <row r="15">
      <c r="A15" s="23">
        <v>208.0</v>
      </c>
      <c r="B15" s="10" t="s">
        <v>513</v>
      </c>
      <c r="C15" s="24">
        <v>45187.0</v>
      </c>
      <c r="D15" s="12" t="s">
        <v>30</v>
      </c>
      <c r="E15" s="12" t="s">
        <v>266</v>
      </c>
      <c r="F15" s="14">
        <v>1.0</v>
      </c>
      <c r="G15" s="14" t="s">
        <v>22</v>
      </c>
      <c r="H15" s="16">
        <v>1.0</v>
      </c>
      <c r="I15" s="17" t="s">
        <v>514</v>
      </c>
      <c r="J15" s="16">
        <v>1.0</v>
      </c>
      <c r="K15" s="17" t="s">
        <v>515</v>
      </c>
      <c r="L15" s="16">
        <v>1.0</v>
      </c>
      <c r="M15" s="17" t="s">
        <v>516</v>
      </c>
      <c r="N15" s="16">
        <v>1.0</v>
      </c>
      <c r="O15" s="17" t="s">
        <v>517</v>
      </c>
      <c r="P15" s="16">
        <v>1.0</v>
      </c>
      <c r="Q15" s="17" t="s">
        <v>60</v>
      </c>
      <c r="R15" s="16">
        <v>0.0</v>
      </c>
      <c r="S15" s="17" t="s">
        <v>518</v>
      </c>
      <c r="T15" s="18"/>
      <c r="U15" s="28" t="s">
        <v>519</v>
      </c>
      <c r="V15" s="37" t="str">
        <f t="shared" si="1"/>
        <v/>
      </c>
      <c r="W15" s="37" t="str">
        <f t="shared" si="2"/>
        <v/>
      </c>
      <c r="X15" s="38" t="str">
        <f t="shared" si="3"/>
        <v/>
      </c>
      <c r="Y15" s="39" t="str">
        <f t="shared" si="4"/>
        <v/>
      </c>
      <c r="Z15" s="39" t="str">
        <f t="shared" si="5"/>
        <v/>
      </c>
      <c r="AA15" s="39" t="str">
        <f t="shared" si="6"/>
        <v/>
      </c>
      <c r="AB15" s="20"/>
      <c r="AC15" s="20"/>
      <c r="AD15" s="20"/>
      <c r="AE15" s="20"/>
      <c r="AF15" s="20"/>
      <c r="AG15" s="20"/>
    </row>
    <row r="16">
      <c r="A16" s="23">
        <v>241.0</v>
      </c>
      <c r="B16" s="22" t="s">
        <v>520</v>
      </c>
      <c r="C16" s="24">
        <v>45187.0</v>
      </c>
      <c r="D16" s="12" t="s">
        <v>30</v>
      </c>
      <c r="E16" s="12" t="s">
        <v>266</v>
      </c>
      <c r="F16" s="14">
        <v>0.0</v>
      </c>
      <c r="G16" s="15"/>
      <c r="H16" s="16">
        <v>1.0</v>
      </c>
      <c r="I16" s="17" t="s">
        <v>521</v>
      </c>
      <c r="J16" s="16">
        <v>1.0</v>
      </c>
      <c r="K16" s="17" t="s">
        <v>522</v>
      </c>
      <c r="L16" s="16">
        <v>1.0</v>
      </c>
      <c r="M16" s="17" t="s">
        <v>523</v>
      </c>
      <c r="N16" s="16">
        <v>1.0</v>
      </c>
      <c r="O16" s="17" t="s">
        <v>524</v>
      </c>
      <c r="P16" s="16">
        <v>1.0</v>
      </c>
      <c r="Q16" s="17" t="s">
        <v>60</v>
      </c>
      <c r="R16" s="16">
        <v>0.0</v>
      </c>
      <c r="S16" s="18"/>
      <c r="T16" s="18"/>
      <c r="U16" s="28" t="s">
        <v>525</v>
      </c>
      <c r="V16" s="37" t="str">
        <f t="shared" si="1"/>
        <v/>
      </c>
      <c r="W16" s="37" t="str">
        <f t="shared" si="2"/>
        <v/>
      </c>
      <c r="X16" s="38" t="str">
        <f t="shared" si="3"/>
        <v/>
      </c>
      <c r="Y16" s="39" t="str">
        <f t="shared" si="4"/>
        <v/>
      </c>
      <c r="Z16" s="39" t="str">
        <f t="shared" si="5"/>
        <v/>
      </c>
      <c r="AA16" s="39" t="str">
        <f t="shared" si="6"/>
        <v/>
      </c>
      <c r="AB16" s="20"/>
      <c r="AC16" s="20"/>
      <c r="AD16" s="20"/>
      <c r="AE16" s="20"/>
      <c r="AF16" s="20"/>
      <c r="AG16" s="20"/>
    </row>
    <row r="17">
      <c r="A17" s="34"/>
      <c r="B17" s="34" t="s">
        <v>425</v>
      </c>
      <c r="C17" s="35"/>
      <c r="D17" s="35"/>
      <c r="E17" s="35"/>
      <c r="F17" s="34" t="s">
        <v>426</v>
      </c>
      <c r="G17" s="34" t="s">
        <v>526</v>
      </c>
      <c r="H17" s="34" t="s">
        <v>427</v>
      </c>
      <c r="I17" s="34"/>
      <c r="J17" s="34" t="s">
        <v>428</v>
      </c>
      <c r="K17" s="35"/>
      <c r="L17" s="34" t="s">
        <v>429</v>
      </c>
      <c r="M17" s="34"/>
      <c r="N17" s="34" t="s">
        <v>430</v>
      </c>
      <c r="O17" s="35"/>
      <c r="P17" s="34" t="s">
        <v>431</v>
      </c>
      <c r="Q17" s="35"/>
      <c r="R17" s="34" t="s">
        <v>432</v>
      </c>
      <c r="S17" s="35"/>
      <c r="T17" s="35"/>
      <c r="U17" s="35"/>
      <c r="V17" s="34" t="s">
        <v>527</v>
      </c>
      <c r="W17" s="34" t="s">
        <v>528</v>
      </c>
      <c r="X17" s="40" t="s">
        <v>529</v>
      </c>
      <c r="Y17" s="34" t="s">
        <v>530</v>
      </c>
      <c r="Z17" s="34" t="s">
        <v>531</v>
      </c>
      <c r="AA17" s="40" t="s">
        <v>532</v>
      </c>
      <c r="AB17" s="20"/>
      <c r="AC17" s="20"/>
      <c r="AD17" s="20"/>
      <c r="AE17" s="20"/>
      <c r="AF17" s="20"/>
      <c r="AG17" s="20"/>
    </row>
    <row r="18">
      <c r="A18" s="14" t="s">
        <v>433</v>
      </c>
      <c r="B18" s="15">
        <f>COUNTIF(B1:B16,"&lt;&gt;") - 1</f>
        <v>15</v>
      </c>
      <c r="C18" s="15"/>
      <c r="D18" s="15"/>
      <c r="E18" s="15"/>
      <c r="F18" s="15">
        <f>COUNTIF(F2:F16,"1")</f>
        <v>5</v>
      </c>
      <c r="G18" s="15">
        <f>COUNTIF(G2:G16,"*Advertising*")</f>
        <v>2</v>
      </c>
      <c r="H18" s="15">
        <f>COUNTIF(H2:H16,"1")</f>
        <v>11</v>
      </c>
      <c r="I18" s="15"/>
      <c r="J18" s="15">
        <f>COUNTIF(J2:J16,"1")</f>
        <v>12</v>
      </c>
      <c r="K18" s="15"/>
      <c r="L18" s="15">
        <f>COUNTIF(L2:L16,"1")</f>
        <v>8</v>
      </c>
      <c r="M18" s="15"/>
      <c r="N18" s="15">
        <f>COUNTIF(N2:N16,"1")</f>
        <v>7</v>
      </c>
      <c r="O18" s="15"/>
      <c r="P18" s="15">
        <f>COUNTIF(P2:P16,"1")</f>
        <v>7</v>
      </c>
      <c r="Q18" s="15"/>
      <c r="R18" s="15">
        <f>COUNTIF(R2:R16,"1")</f>
        <v>3</v>
      </c>
      <c r="S18" s="15"/>
      <c r="T18" s="15"/>
      <c r="U18" s="15"/>
      <c r="V18" s="35">
        <f t="shared" ref="V18:AA18" si="7">SUM(V2:V16)</f>
        <v>2</v>
      </c>
      <c r="W18" s="35">
        <f t="shared" si="7"/>
        <v>2</v>
      </c>
      <c r="X18" s="41">
        <f t="shared" si="7"/>
        <v>2</v>
      </c>
      <c r="Y18" s="35">
        <f t="shared" si="7"/>
        <v>1</v>
      </c>
      <c r="Z18" s="35">
        <f t="shared" si="7"/>
        <v>1</v>
      </c>
      <c r="AA18" s="41">
        <f t="shared" si="7"/>
        <v>1</v>
      </c>
      <c r="AB18" s="20"/>
      <c r="AC18" s="20"/>
      <c r="AD18" s="20"/>
      <c r="AE18" s="20"/>
      <c r="AF18" s="20"/>
      <c r="AG18" s="20"/>
    </row>
    <row r="19">
      <c r="A19" s="20"/>
      <c r="B19" s="20"/>
      <c r="C19" s="20"/>
      <c r="D19" s="20"/>
      <c r="E19" s="20"/>
      <c r="F19" s="20"/>
      <c r="G19" s="34" t="s">
        <v>533</v>
      </c>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c r="A20" s="20"/>
      <c r="B20" s="20"/>
      <c r="C20" s="20"/>
      <c r="D20" s="20"/>
      <c r="E20" s="20"/>
      <c r="F20" s="20"/>
      <c r="G20" s="35">
        <f>COUNTIF(G2:G16,"*FingerprintGen*")</f>
        <v>1</v>
      </c>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row>
  </sheetData>
  <hyperlinks>
    <hyperlink r:id="rId1" ref="B2"/>
    <hyperlink r:id="rId2" ref="U2"/>
    <hyperlink r:id="rId3" ref="B3"/>
    <hyperlink r:id="rId4" ref="U3"/>
    <hyperlink r:id="rId5" ref="B4"/>
    <hyperlink r:id="rId6" ref="U4"/>
    <hyperlink r:id="rId7" ref="B5"/>
    <hyperlink r:id="rId8" ref="U5"/>
    <hyperlink r:id="rId9" ref="B6"/>
    <hyperlink r:id="rId10" ref="U6"/>
    <hyperlink r:id="rId11" ref="B7"/>
    <hyperlink r:id="rId12" ref="U7"/>
    <hyperlink r:id="rId13" ref="B8"/>
    <hyperlink r:id="rId14" ref="U8"/>
    <hyperlink r:id="rId15" ref="B9"/>
    <hyperlink r:id="rId16" location="gdpr-processing" ref="U9"/>
    <hyperlink r:id="rId17" ref="B10"/>
    <hyperlink r:id="rId18" ref="U10"/>
    <hyperlink r:id="rId19" ref="B11"/>
    <hyperlink r:id="rId20" ref="U11"/>
    <hyperlink r:id="rId21" ref="B12"/>
    <hyperlink r:id="rId22" location="h-your-rights" ref="U12"/>
    <hyperlink r:id="rId23" ref="B13"/>
    <hyperlink r:id="rId24" ref="U13"/>
    <hyperlink r:id="rId25" ref="B14"/>
    <hyperlink r:id="rId26" ref="U14"/>
    <hyperlink r:id="rId27" ref="B15"/>
    <hyperlink r:id="rId28" location="california_info" ref="U15"/>
    <hyperlink r:id="rId29" ref="B16"/>
    <hyperlink r:id="rId30" ref="U16"/>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0"/>
    <col customWidth="1" min="2" max="2" width="26.88"/>
    <col customWidth="1" min="3" max="3" width="15.38"/>
    <col customWidth="1" min="4" max="4" width="15.13"/>
    <col customWidth="1" min="5" max="5" width="16.5"/>
    <col customWidth="1" min="6" max="8" width="15.13"/>
    <col customWidth="1" min="9" max="9" width="34.5"/>
    <col customWidth="1" min="10" max="10" width="15.13"/>
    <col customWidth="1" min="11" max="11" width="34.5"/>
    <col customWidth="1" min="12" max="12" width="16.5"/>
    <col customWidth="1" min="13" max="13" width="34.5"/>
    <col customWidth="1" min="14" max="14" width="16.88"/>
    <col customWidth="1" min="15" max="15" width="34.5"/>
    <col customWidth="1" min="16" max="16" width="15.13"/>
    <col customWidth="1" min="17" max="17" width="34.5"/>
    <col customWidth="1" min="18" max="18" width="15.13"/>
    <col customWidth="1" min="19" max="24" width="34.5"/>
  </cols>
  <sheetData>
    <row r="1" ht="82.5" customHeight="1">
      <c r="A1" s="1" t="s">
        <v>0</v>
      </c>
      <c r="B1" s="1" t="s">
        <v>1</v>
      </c>
      <c r="C1" s="2" t="s">
        <v>2</v>
      </c>
      <c r="D1" s="2" t="s">
        <v>3</v>
      </c>
      <c r="E1" s="3" t="s">
        <v>4</v>
      </c>
      <c r="F1" s="4" t="s">
        <v>5</v>
      </c>
      <c r="G1" s="4" t="s">
        <v>6</v>
      </c>
      <c r="H1" s="5" t="s">
        <v>7</v>
      </c>
      <c r="I1" s="6" t="s">
        <v>8</v>
      </c>
      <c r="J1" s="5" t="s">
        <v>9</v>
      </c>
      <c r="K1" s="6" t="s">
        <v>8</v>
      </c>
      <c r="L1" s="5" t="s">
        <v>10</v>
      </c>
      <c r="M1" s="6" t="s">
        <v>8</v>
      </c>
      <c r="N1" s="5" t="s">
        <v>11</v>
      </c>
      <c r="O1" s="6" t="s">
        <v>8</v>
      </c>
      <c r="P1" s="5" t="s">
        <v>12</v>
      </c>
      <c r="Q1" s="6" t="s">
        <v>8</v>
      </c>
      <c r="R1" s="5" t="s">
        <v>13</v>
      </c>
      <c r="S1" s="6" t="s">
        <v>435</v>
      </c>
      <c r="T1" s="6" t="s">
        <v>8</v>
      </c>
      <c r="U1" s="7" t="s">
        <v>436</v>
      </c>
      <c r="V1" s="4" t="s">
        <v>437</v>
      </c>
      <c r="W1" s="4" t="s">
        <v>438</v>
      </c>
      <c r="X1" s="36" t="s">
        <v>439</v>
      </c>
      <c r="Y1" s="8"/>
      <c r="Z1" s="8"/>
      <c r="AA1" s="8"/>
      <c r="AB1" s="8"/>
      <c r="AC1" s="8"/>
      <c r="AD1" s="8"/>
      <c r="AE1" s="8"/>
      <c r="AF1" s="8"/>
      <c r="AG1" s="8"/>
      <c r="AH1" s="8"/>
    </row>
    <row r="2">
      <c r="A2" s="23">
        <v>1.0</v>
      </c>
      <c r="B2" s="22" t="s">
        <v>534</v>
      </c>
      <c r="C2" s="11">
        <v>45215.0</v>
      </c>
      <c r="D2" s="12" t="s">
        <v>30</v>
      </c>
      <c r="E2" s="13">
        <v>45660.0</v>
      </c>
      <c r="F2" s="14">
        <v>1.0</v>
      </c>
      <c r="G2" s="14" t="s">
        <v>535</v>
      </c>
      <c r="H2" s="16">
        <v>1.0</v>
      </c>
      <c r="I2" s="17" t="s">
        <v>536</v>
      </c>
      <c r="J2" s="16">
        <v>1.0</v>
      </c>
      <c r="K2" s="17" t="s">
        <v>537</v>
      </c>
      <c r="L2" s="16">
        <v>1.0</v>
      </c>
      <c r="M2" s="17" t="s">
        <v>538</v>
      </c>
      <c r="N2" s="16">
        <v>1.0</v>
      </c>
      <c r="O2" s="18"/>
      <c r="P2" s="16">
        <v>1.0</v>
      </c>
      <c r="Q2" s="18"/>
      <c r="R2" s="16">
        <v>0.0</v>
      </c>
      <c r="S2" s="18"/>
      <c r="T2" s="18"/>
      <c r="U2" s="28" t="s">
        <v>539</v>
      </c>
      <c r="V2" s="37">
        <f t="shared" ref="V2:V14" si="1">IF(ISNUMBER(SEARCH("Advertising", G2)), IF(L2 = 1, 1, 0), "")</f>
        <v>1</v>
      </c>
      <c r="W2" s="37">
        <f t="shared" ref="W2:W14" si="2">IF(ISNUMBER(SEARCH("Advertising", G2)), IF(H2 = 1, 1, 0), "")</f>
        <v>1</v>
      </c>
      <c r="X2" s="38">
        <f t="shared" ref="X2:X14" si="3">IF(ISNUMBER(SEARCH("Advertising", G2)), IF(J2 = 1, 1, 0), "")</f>
        <v>1</v>
      </c>
      <c r="Y2" s="20"/>
      <c r="Z2" s="20"/>
      <c r="AA2" s="20"/>
      <c r="AB2" s="20"/>
      <c r="AC2" s="20"/>
      <c r="AD2" s="20"/>
      <c r="AE2" s="20"/>
      <c r="AF2" s="20"/>
      <c r="AG2" s="20"/>
      <c r="AH2" s="20"/>
    </row>
    <row r="3">
      <c r="A3" s="23">
        <v>6.0</v>
      </c>
      <c r="B3" s="22" t="s">
        <v>540</v>
      </c>
      <c r="C3" s="24">
        <v>45194.0</v>
      </c>
      <c r="D3" s="12" t="s">
        <v>17</v>
      </c>
      <c r="E3" s="13">
        <v>45660.0</v>
      </c>
      <c r="F3" s="14">
        <v>1.0</v>
      </c>
      <c r="G3" s="14" t="s">
        <v>541</v>
      </c>
      <c r="H3" s="16">
        <v>0.0</v>
      </c>
      <c r="I3" s="17"/>
      <c r="J3" s="16">
        <v>1.0</v>
      </c>
      <c r="K3" s="17" t="s">
        <v>542</v>
      </c>
      <c r="L3" s="16">
        <v>1.0</v>
      </c>
      <c r="M3" s="17" t="s">
        <v>543</v>
      </c>
      <c r="N3" s="16">
        <v>1.0</v>
      </c>
      <c r="O3" s="17" t="s">
        <v>544</v>
      </c>
      <c r="P3" s="16">
        <v>1.0</v>
      </c>
      <c r="Q3" s="17" t="s">
        <v>215</v>
      </c>
      <c r="R3" s="16">
        <v>0.0</v>
      </c>
      <c r="S3" s="18"/>
      <c r="T3" s="17" t="s">
        <v>545</v>
      </c>
      <c r="U3" s="21" t="s">
        <v>546</v>
      </c>
      <c r="V3" s="37">
        <f t="shared" si="1"/>
        <v>1</v>
      </c>
      <c r="W3" s="37">
        <f t="shared" si="2"/>
        <v>0</v>
      </c>
      <c r="X3" s="38">
        <f t="shared" si="3"/>
        <v>1</v>
      </c>
      <c r="Y3" s="20"/>
      <c r="Z3" s="20"/>
      <c r="AA3" s="20"/>
      <c r="AB3" s="20"/>
      <c r="AC3" s="20"/>
      <c r="AD3" s="20"/>
      <c r="AE3" s="20"/>
      <c r="AF3" s="20"/>
      <c r="AG3" s="20"/>
      <c r="AH3" s="20"/>
    </row>
    <row r="4">
      <c r="A4" s="23">
        <v>10.0</v>
      </c>
      <c r="B4" s="22" t="s">
        <v>547</v>
      </c>
      <c r="C4" s="24">
        <v>45194.0</v>
      </c>
      <c r="D4" s="12" t="s">
        <v>30</v>
      </c>
      <c r="E4" s="13">
        <v>45660.0</v>
      </c>
      <c r="F4" s="14">
        <v>1.0</v>
      </c>
      <c r="G4" s="14" t="s">
        <v>503</v>
      </c>
      <c r="H4" s="16">
        <v>1.0</v>
      </c>
      <c r="I4" s="17" t="s">
        <v>548</v>
      </c>
      <c r="J4" s="16">
        <v>1.0</v>
      </c>
      <c r="K4" s="17" t="s">
        <v>549</v>
      </c>
      <c r="L4" s="16">
        <v>1.0</v>
      </c>
      <c r="M4" s="17" t="s">
        <v>550</v>
      </c>
      <c r="N4" s="16">
        <v>0.0</v>
      </c>
      <c r="O4" s="17" t="s">
        <v>551</v>
      </c>
      <c r="P4" s="16">
        <v>1.0</v>
      </c>
      <c r="Q4" s="17" t="s">
        <v>215</v>
      </c>
      <c r="R4" s="16">
        <v>0.0</v>
      </c>
      <c r="S4" s="18"/>
      <c r="T4" s="18"/>
      <c r="U4" s="28" t="s">
        <v>552</v>
      </c>
      <c r="V4" s="37">
        <f t="shared" si="1"/>
        <v>1</v>
      </c>
      <c r="W4" s="37">
        <f t="shared" si="2"/>
        <v>1</v>
      </c>
      <c r="X4" s="38">
        <f t="shared" si="3"/>
        <v>1</v>
      </c>
      <c r="Y4" s="20"/>
      <c r="Z4" s="20"/>
      <c r="AA4" s="20"/>
      <c r="AB4" s="20"/>
      <c r="AC4" s="20"/>
      <c r="AD4" s="20"/>
      <c r="AE4" s="20"/>
      <c r="AF4" s="20"/>
      <c r="AG4" s="20"/>
      <c r="AH4" s="20"/>
    </row>
    <row r="5">
      <c r="A5" s="23">
        <v>11.0</v>
      </c>
      <c r="B5" s="22" t="s">
        <v>553</v>
      </c>
      <c r="C5" s="11">
        <v>45215.0</v>
      </c>
      <c r="D5" s="12" t="s">
        <v>30</v>
      </c>
      <c r="E5" s="13">
        <v>45660.0</v>
      </c>
      <c r="F5" s="14">
        <v>1.0</v>
      </c>
      <c r="G5" s="14" t="s">
        <v>554</v>
      </c>
      <c r="H5" s="16">
        <v>1.0</v>
      </c>
      <c r="I5" s="17" t="s">
        <v>555</v>
      </c>
      <c r="J5" s="16">
        <v>1.0</v>
      </c>
      <c r="K5" s="17" t="s">
        <v>556</v>
      </c>
      <c r="L5" s="16">
        <v>1.0</v>
      </c>
      <c r="M5" s="17" t="s">
        <v>557</v>
      </c>
      <c r="N5" s="16">
        <v>1.0</v>
      </c>
      <c r="O5" s="18"/>
      <c r="P5" s="16">
        <v>1.0</v>
      </c>
      <c r="Q5" s="18"/>
      <c r="R5" s="16">
        <v>0.0</v>
      </c>
      <c r="S5" s="18"/>
      <c r="T5" s="18"/>
      <c r="U5" s="29" t="s">
        <v>558</v>
      </c>
      <c r="V5" s="37" t="str">
        <f t="shared" si="1"/>
        <v/>
      </c>
      <c r="W5" s="37" t="str">
        <f t="shared" si="2"/>
        <v/>
      </c>
      <c r="X5" s="38" t="str">
        <f t="shared" si="3"/>
        <v/>
      </c>
      <c r="Y5" s="20"/>
      <c r="Z5" s="20"/>
      <c r="AA5" s="20"/>
      <c r="AB5" s="20"/>
      <c r="AC5" s="20"/>
      <c r="AD5" s="20"/>
      <c r="AE5" s="20"/>
      <c r="AF5" s="20"/>
      <c r="AG5" s="20"/>
      <c r="AH5" s="20"/>
    </row>
    <row r="6">
      <c r="A6" s="23">
        <v>12.0</v>
      </c>
      <c r="B6" s="10" t="s">
        <v>559</v>
      </c>
      <c r="C6" s="24">
        <v>45194.0</v>
      </c>
      <c r="D6" s="12" t="s">
        <v>17</v>
      </c>
      <c r="E6" s="13">
        <v>45660.0</v>
      </c>
      <c r="F6" s="14">
        <v>1.0</v>
      </c>
      <c r="G6" s="14" t="s">
        <v>503</v>
      </c>
      <c r="H6" s="16">
        <v>1.0</v>
      </c>
      <c r="I6" s="17" t="s">
        <v>560</v>
      </c>
      <c r="J6" s="16">
        <v>1.0</v>
      </c>
      <c r="K6" s="17" t="s">
        <v>561</v>
      </c>
      <c r="L6" s="16">
        <v>1.0</v>
      </c>
      <c r="M6" s="17" t="s">
        <v>562</v>
      </c>
      <c r="N6" s="16">
        <v>1.0</v>
      </c>
      <c r="O6" s="17" t="s">
        <v>563</v>
      </c>
      <c r="P6" s="16">
        <v>1.0</v>
      </c>
      <c r="Q6" s="17" t="s">
        <v>215</v>
      </c>
      <c r="R6" s="16">
        <v>1.0</v>
      </c>
      <c r="S6" s="25" t="s">
        <v>564</v>
      </c>
      <c r="T6" s="17" t="s">
        <v>565</v>
      </c>
      <c r="U6" s="21" t="s">
        <v>566</v>
      </c>
      <c r="V6" s="37">
        <f t="shared" si="1"/>
        <v>1</v>
      </c>
      <c r="W6" s="37">
        <f t="shared" si="2"/>
        <v>1</v>
      </c>
      <c r="X6" s="38">
        <f t="shared" si="3"/>
        <v>1</v>
      </c>
      <c r="Y6" s="20"/>
      <c r="Z6" s="20"/>
      <c r="AA6" s="20"/>
      <c r="AB6" s="20"/>
      <c r="AC6" s="20"/>
      <c r="AD6" s="20"/>
      <c r="AE6" s="20"/>
      <c r="AF6" s="20"/>
      <c r="AG6" s="20"/>
      <c r="AH6" s="20"/>
    </row>
    <row r="7">
      <c r="A7" s="23">
        <v>15.0</v>
      </c>
      <c r="B7" s="22" t="s">
        <v>567</v>
      </c>
      <c r="C7" s="24">
        <v>45194.0</v>
      </c>
      <c r="D7" s="12" t="s">
        <v>30</v>
      </c>
      <c r="E7" s="13">
        <v>45660.0</v>
      </c>
      <c r="F7" s="14">
        <v>1.0</v>
      </c>
      <c r="G7" s="14" t="s">
        <v>503</v>
      </c>
      <c r="H7" s="16">
        <v>1.0</v>
      </c>
      <c r="I7" s="17" t="s">
        <v>568</v>
      </c>
      <c r="J7" s="16">
        <v>1.0</v>
      </c>
      <c r="K7" s="17" t="s">
        <v>569</v>
      </c>
      <c r="L7" s="16">
        <v>1.0</v>
      </c>
      <c r="M7" s="17" t="s">
        <v>570</v>
      </c>
      <c r="N7" s="16">
        <v>0.0</v>
      </c>
      <c r="O7" s="17" t="s">
        <v>571</v>
      </c>
      <c r="P7" s="16">
        <v>1.0</v>
      </c>
      <c r="Q7" s="17" t="s">
        <v>572</v>
      </c>
      <c r="R7" s="16">
        <v>1.0</v>
      </c>
      <c r="S7" s="17" t="s">
        <v>573</v>
      </c>
      <c r="T7" s="17" t="s">
        <v>574</v>
      </c>
      <c r="U7" s="29" t="s">
        <v>575</v>
      </c>
      <c r="V7" s="37">
        <f t="shared" si="1"/>
        <v>1</v>
      </c>
      <c r="W7" s="37">
        <f t="shared" si="2"/>
        <v>1</v>
      </c>
      <c r="X7" s="38">
        <f t="shared" si="3"/>
        <v>1</v>
      </c>
      <c r="Y7" s="20"/>
      <c r="Z7" s="20"/>
      <c r="AA7" s="20"/>
      <c r="AB7" s="20"/>
      <c r="AC7" s="20"/>
      <c r="AD7" s="20"/>
      <c r="AE7" s="20"/>
      <c r="AF7" s="20"/>
      <c r="AG7" s="20"/>
      <c r="AH7" s="20"/>
    </row>
    <row r="8">
      <c r="A8" s="23">
        <v>18.0</v>
      </c>
      <c r="B8" s="22" t="s">
        <v>576</v>
      </c>
      <c r="C8" s="24">
        <v>45194.0</v>
      </c>
      <c r="D8" s="12" t="s">
        <v>30</v>
      </c>
      <c r="E8" s="13">
        <v>45660.0</v>
      </c>
      <c r="F8" s="14">
        <v>1.0</v>
      </c>
      <c r="G8" s="14" t="s">
        <v>577</v>
      </c>
      <c r="H8" s="16">
        <v>1.0</v>
      </c>
      <c r="I8" s="17" t="s">
        <v>578</v>
      </c>
      <c r="J8" s="16">
        <v>1.0</v>
      </c>
      <c r="K8" s="17" t="s">
        <v>578</v>
      </c>
      <c r="L8" s="16">
        <v>1.0</v>
      </c>
      <c r="M8" s="17" t="s">
        <v>579</v>
      </c>
      <c r="N8" s="16">
        <v>0.0</v>
      </c>
      <c r="O8" s="17" t="s">
        <v>580</v>
      </c>
      <c r="P8" s="16">
        <v>1.0</v>
      </c>
      <c r="Q8" s="17" t="s">
        <v>581</v>
      </c>
      <c r="R8" s="16">
        <v>0.0</v>
      </c>
      <c r="S8" s="18"/>
      <c r="T8" s="18"/>
      <c r="U8" s="28" t="s">
        <v>582</v>
      </c>
      <c r="V8" s="37">
        <f t="shared" si="1"/>
        <v>1</v>
      </c>
      <c r="W8" s="37">
        <f t="shared" si="2"/>
        <v>1</v>
      </c>
      <c r="X8" s="38">
        <f t="shared" si="3"/>
        <v>1</v>
      </c>
      <c r="Y8" s="20"/>
      <c r="Z8" s="20"/>
      <c r="AA8" s="20"/>
      <c r="AB8" s="20"/>
      <c r="AC8" s="20"/>
      <c r="AD8" s="20"/>
      <c r="AE8" s="20"/>
      <c r="AF8" s="20"/>
      <c r="AG8" s="20"/>
      <c r="AH8" s="20"/>
    </row>
    <row r="9">
      <c r="A9" s="23">
        <v>21.0</v>
      </c>
      <c r="B9" s="10" t="s">
        <v>583</v>
      </c>
      <c r="C9" s="11">
        <v>45215.0</v>
      </c>
      <c r="D9" s="12" t="s">
        <v>30</v>
      </c>
      <c r="E9" s="13">
        <v>45660.0</v>
      </c>
      <c r="F9" s="14">
        <v>1.0</v>
      </c>
      <c r="G9" s="14" t="s">
        <v>503</v>
      </c>
      <c r="H9" s="16">
        <v>1.0</v>
      </c>
      <c r="I9" s="17" t="s">
        <v>584</v>
      </c>
      <c r="J9" s="16">
        <v>0.0</v>
      </c>
      <c r="K9" s="17"/>
      <c r="L9" s="16">
        <v>1.0</v>
      </c>
      <c r="M9" s="17" t="s">
        <v>585</v>
      </c>
      <c r="N9" s="16">
        <v>0.0</v>
      </c>
      <c r="O9" s="18"/>
      <c r="P9" s="16">
        <v>1.0</v>
      </c>
      <c r="Q9" s="18"/>
      <c r="R9" s="16">
        <v>0.0</v>
      </c>
      <c r="S9" s="18"/>
      <c r="T9" s="18"/>
      <c r="U9" s="28" t="s">
        <v>586</v>
      </c>
      <c r="V9" s="37">
        <f t="shared" si="1"/>
        <v>1</v>
      </c>
      <c r="W9" s="37">
        <f t="shared" si="2"/>
        <v>1</v>
      </c>
      <c r="X9" s="38">
        <f t="shared" si="3"/>
        <v>0</v>
      </c>
      <c r="Y9" s="20"/>
      <c r="Z9" s="20"/>
      <c r="AA9" s="20"/>
      <c r="AB9" s="20"/>
      <c r="AC9" s="20"/>
      <c r="AD9" s="20"/>
      <c r="AE9" s="20"/>
      <c r="AF9" s="20"/>
      <c r="AG9" s="20"/>
      <c r="AH9" s="20"/>
    </row>
    <row r="10">
      <c r="A10" s="23">
        <v>30.0</v>
      </c>
      <c r="B10" s="10" t="s">
        <v>587</v>
      </c>
      <c r="C10" s="24">
        <v>45194.0</v>
      </c>
      <c r="D10" s="12" t="s">
        <v>17</v>
      </c>
      <c r="E10" s="13">
        <v>45660.0</v>
      </c>
      <c r="F10" s="14">
        <v>1.0</v>
      </c>
      <c r="G10" s="14" t="s">
        <v>148</v>
      </c>
      <c r="H10" s="16">
        <v>0.0</v>
      </c>
      <c r="I10" s="17"/>
      <c r="J10" s="16">
        <v>0.0</v>
      </c>
      <c r="K10" s="17" t="s">
        <v>588</v>
      </c>
      <c r="L10" s="16">
        <v>1.0</v>
      </c>
      <c r="M10" s="17" t="s">
        <v>589</v>
      </c>
      <c r="N10" s="16">
        <v>0.0</v>
      </c>
      <c r="O10" s="17" t="s">
        <v>590</v>
      </c>
      <c r="P10" s="16">
        <v>1.0</v>
      </c>
      <c r="Q10" s="17" t="s">
        <v>215</v>
      </c>
      <c r="R10" s="16">
        <v>0.0</v>
      </c>
      <c r="S10" s="18"/>
      <c r="T10" s="18"/>
      <c r="U10" s="21" t="s">
        <v>591</v>
      </c>
      <c r="V10" s="37" t="str">
        <f t="shared" si="1"/>
        <v/>
      </c>
      <c r="W10" s="37" t="str">
        <f t="shared" si="2"/>
        <v/>
      </c>
      <c r="X10" s="38" t="str">
        <f t="shared" si="3"/>
        <v/>
      </c>
      <c r="Y10" s="20"/>
      <c r="Z10" s="20"/>
      <c r="AA10" s="20"/>
      <c r="AB10" s="20"/>
      <c r="AC10" s="20"/>
      <c r="AD10" s="20"/>
      <c r="AE10" s="20"/>
      <c r="AF10" s="20"/>
      <c r="AG10" s="20"/>
      <c r="AH10" s="20"/>
    </row>
    <row r="11">
      <c r="A11" s="23">
        <v>33.0</v>
      </c>
      <c r="B11" s="10" t="s">
        <v>592</v>
      </c>
      <c r="C11" s="24">
        <v>45194.0</v>
      </c>
      <c r="D11" s="12" t="s">
        <v>17</v>
      </c>
      <c r="E11" s="13">
        <v>45660.0</v>
      </c>
      <c r="F11" s="14">
        <v>1.0</v>
      </c>
      <c r="G11" s="14" t="s">
        <v>503</v>
      </c>
      <c r="H11" s="16">
        <v>0.0</v>
      </c>
      <c r="I11" s="17"/>
      <c r="J11" s="16">
        <v>1.0</v>
      </c>
      <c r="K11" s="17" t="s">
        <v>593</v>
      </c>
      <c r="L11" s="16">
        <v>1.0</v>
      </c>
      <c r="M11" s="17" t="s">
        <v>594</v>
      </c>
      <c r="N11" s="16">
        <v>1.0</v>
      </c>
      <c r="O11" s="17" t="s">
        <v>595</v>
      </c>
      <c r="P11" s="16">
        <v>1.0</v>
      </c>
      <c r="Q11" s="17" t="s">
        <v>215</v>
      </c>
      <c r="R11" s="16">
        <v>0.0</v>
      </c>
      <c r="S11" s="18"/>
      <c r="T11" s="18"/>
      <c r="U11" s="21" t="s">
        <v>596</v>
      </c>
      <c r="V11" s="37">
        <f t="shared" si="1"/>
        <v>1</v>
      </c>
      <c r="W11" s="37">
        <f t="shared" si="2"/>
        <v>0</v>
      </c>
      <c r="X11" s="38">
        <f t="shared" si="3"/>
        <v>1</v>
      </c>
      <c r="Y11" s="20"/>
      <c r="Z11" s="20"/>
      <c r="AA11" s="20"/>
      <c r="AB11" s="20"/>
      <c r="AC11" s="20"/>
      <c r="AD11" s="20"/>
      <c r="AE11" s="20"/>
      <c r="AF11" s="20"/>
      <c r="AG11" s="20"/>
      <c r="AH11" s="20"/>
    </row>
    <row r="12">
      <c r="A12" s="23">
        <v>36.0</v>
      </c>
      <c r="B12" s="22" t="s">
        <v>597</v>
      </c>
      <c r="C12" s="24">
        <v>45194.0</v>
      </c>
      <c r="D12" s="12" t="s">
        <v>17</v>
      </c>
      <c r="E12" s="13">
        <v>45660.0</v>
      </c>
      <c r="F12" s="14">
        <v>1.0</v>
      </c>
      <c r="G12" s="14" t="s">
        <v>503</v>
      </c>
      <c r="H12" s="16">
        <v>1.0</v>
      </c>
      <c r="I12" s="17" t="s">
        <v>598</v>
      </c>
      <c r="J12" s="16">
        <v>1.0</v>
      </c>
      <c r="K12" s="17" t="s">
        <v>599</v>
      </c>
      <c r="L12" s="16">
        <v>1.0</v>
      </c>
      <c r="M12" s="17" t="s">
        <v>600</v>
      </c>
      <c r="N12" s="16">
        <v>0.0</v>
      </c>
      <c r="O12" s="17" t="s">
        <v>601</v>
      </c>
      <c r="P12" s="16">
        <v>1.0</v>
      </c>
      <c r="Q12" s="17" t="s">
        <v>215</v>
      </c>
      <c r="R12" s="16">
        <v>0.0</v>
      </c>
      <c r="S12" s="18"/>
      <c r="T12" s="18"/>
      <c r="U12" s="21" t="s">
        <v>602</v>
      </c>
      <c r="V12" s="37">
        <f t="shared" si="1"/>
        <v>1</v>
      </c>
      <c r="W12" s="37">
        <f t="shared" si="2"/>
        <v>1</v>
      </c>
      <c r="X12" s="38">
        <f t="shared" si="3"/>
        <v>1</v>
      </c>
      <c r="Y12" s="20"/>
      <c r="Z12" s="20"/>
      <c r="AA12" s="20"/>
      <c r="AB12" s="20"/>
      <c r="AC12" s="20"/>
      <c r="AD12" s="20"/>
      <c r="AE12" s="20"/>
      <c r="AF12" s="20"/>
      <c r="AG12" s="20"/>
      <c r="AH12" s="20"/>
    </row>
    <row r="13">
      <c r="A13" s="23">
        <v>39.0</v>
      </c>
      <c r="B13" s="22" t="s">
        <v>603</v>
      </c>
      <c r="C13" s="24">
        <v>45194.0</v>
      </c>
      <c r="D13" s="12" t="s">
        <v>30</v>
      </c>
      <c r="E13" s="13">
        <v>45660.0</v>
      </c>
      <c r="F13" s="14">
        <v>1.0</v>
      </c>
      <c r="G13" s="14" t="s">
        <v>503</v>
      </c>
      <c r="H13" s="16">
        <v>1.0</v>
      </c>
      <c r="I13" s="17" t="s">
        <v>604</v>
      </c>
      <c r="J13" s="16">
        <v>1.0</v>
      </c>
      <c r="K13" s="17" t="s">
        <v>605</v>
      </c>
      <c r="L13" s="16">
        <v>1.0</v>
      </c>
      <c r="M13" s="17" t="s">
        <v>606</v>
      </c>
      <c r="N13" s="16">
        <v>1.0</v>
      </c>
      <c r="O13" s="17" t="s">
        <v>607</v>
      </c>
      <c r="P13" s="16">
        <v>1.0</v>
      </c>
      <c r="Q13" s="17" t="s">
        <v>215</v>
      </c>
      <c r="R13" s="16">
        <v>1.0</v>
      </c>
      <c r="S13" s="17" t="s">
        <v>608</v>
      </c>
      <c r="T13" s="17" t="s">
        <v>609</v>
      </c>
      <c r="U13" s="28" t="s">
        <v>610</v>
      </c>
      <c r="V13" s="37">
        <f t="shared" si="1"/>
        <v>1</v>
      </c>
      <c r="W13" s="37">
        <f t="shared" si="2"/>
        <v>1</v>
      </c>
      <c r="X13" s="38">
        <f t="shared" si="3"/>
        <v>1</v>
      </c>
      <c r="Y13" s="20"/>
      <c r="Z13" s="20"/>
      <c r="AA13" s="20"/>
      <c r="AB13" s="20"/>
      <c r="AC13" s="20"/>
      <c r="AD13" s="20"/>
      <c r="AE13" s="20"/>
      <c r="AF13" s="20"/>
      <c r="AG13" s="20"/>
      <c r="AH13" s="20"/>
    </row>
    <row r="14">
      <c r="A14" s="23">
        <v>42.0</v>
      </c>
      <c r="B14" s="22" t="s">
        <v>611</v>
      </c>
      <c r="C14" s="24">
        <v>45194.0</v>
      </c>
      <c r="D14" s="12" t="s">
        <v>30</v>
      </c>
      <c r="E14" s="13">
        <v>45660.0</v>
      </c>
      <c r="F14" s="14">
        <v>1.0</v>
      </c>
      <c r="G14" s="14" t="s">
        <v>503</v>
      </c>
      <c r="H14" s="16">
        <v>1.0</v>
      </c>
      <c r="I14" s="17" t="s">
        <v>612</v>
      </c>
      <c r="J14" s="16">
        <v>1.0</v>
      </c>
      <c r="K14" s="17" t="s">
        <v>613</v>
      </c>
      <c r="L14" s="16">
        <v>1.0</v>
      </c>
      <c r="M14" s="17" t="s">
        <v>614</v>
      </c>
      <c r="N14" s="16">
        <v>1.0</v>
      </c>
      <c r="O14" s="17" t="s">
        <v>615</v>
      </c>
      <c r="P14" s="16">
        <v>1.0</v>
      </c>
      <c r="Q14" s="17" t="s">
        <v>215</v>
      </c>
      <c r="R14" s="16">
        <v>1.0</v>
      </c>
      <c r="S14" s="17" t="s">
        <v>616</v>
      </c>
      <c r="T14" s="18"/>
      <c r="U14" s="28" t="s">
        <v>617</v>
      </c>
      <c r="V14" s="37">
        <f t="shared" si="1"/>
        <v>1</v>
      </c>
      <c r="W14" s="37">
        <f t="shared" si="2"/>
        <v>1</v>
      </c>
      <c r="X14" s="38">
        <f t="shared" si="3"/>
        <v>1</v>
      </c>
      <c r="Y14" s="20"/>
      <c r="Z14" s="20"/>
      <c r="AA14" s="20"/>
      <c r="AB14" s="20"/>
      <c r="AC14" s="20"/>
      <c r="AD14" s="20"/>
      <c r="AE14" s="20"/>
      <c r="AF14" s="20"/>
      <c r="AG14" s="20"/>
      <c r="AH14" s="20"/>
    </row>
    <row r="15">
      <c r="A15" s="34"/>
      <c r="B15" s="34" t="s">
        <v>425</v>
      </c>
      <c r="C15" s="35"/>
      <c r="D15" s="35"/>
      <c r="E15" s="35"/>
      <c r="F15" s="34" t="s">
        <v>426</v>
      </c>
      <c r="G15" s="34" t="s">
        <v>526</v>
      </c>
      <c r="H15" s="34" t="s">
        <v>427</v>
      </c>
      <c r="I15" s="35"/>
      <c r="J15" s="34" t="s">
        <v>428</v>
      </c>
      <c r="K15" s="35"/>
      <c r="L15" s="34" t="s">
        <v>429</v>
      </c>
      <c r="M15" s="35"/>
      <c r="N15" s="34" t="s">
        <v>430</v>
      </c>
      <c r="O15" s="35"/>
      <c r="P15" s="34" t="s">
        <v>431</v>
      </c>
      <c r="Q15" s="35"/>
      <c r="R15" s="34" t="s">
        <v>432</v>
      </c>
      <c r="S15" s="35"/>
      <c r="T15" s="35"/>
      <c r="U15" s="35"/>
      <c r="V15" s="34" t="s">
        <v>527</v>
      </c>
      <c r="W15" s="34" t="s">
        <v>528</v>
      </c>
      <c r="X15" s="40" t="s">
        <v>529</v>
      </c>
      <c r="Y15" s="20"/>
      <c r="Z15" s="20"/>
      <c r="AA15" s="20"/>
      <c r="AB15" s="20"/>
      <c r="AC15" s="20"/>
      <c r="AD15" s="20"/>
      <c r="AE15" s="20"/>
      <c r="AF15" s="20"/>
      <c r="AG15" s="20"/>
      <c r="AH15" s="20"/>
    </row>
    <row r="16">
      <c r="A16" s="34" t="s">
        <v>433</v>
      </c>
      <c r="B16" s="35">
        <f>COUNTIF(B1:B14,"&lt;&gt;") - 1</f>
        <v>13</v>
      </c>
      <c r="C16" s="35"/>
      <c r="D16" s="35"/>
      <c r="E16" s="35"/>
      <c r="F16" s="35">
        <f>COUNTIF(F2:F14,"1")</f>
        <v>13</v>
      </c>
      <c r="G16" s="35">
        <f>COUNTIF(G2:G14,"*Advertising*")</f>
        <v>11</v>
      </c>
      <c r="H16" s="35">
        <f>COUNTIF(H2:H14,"1")</f>
        <v>10</v>
      </c>
      <c r="I16" s="35"/>
      <c r="J16" s="35">
        <f>COUNTIF(J2:J14,"1")</f>
        <v>11</v>
      </c>
      <c r="K16" s="35"/>
      <c r="L16" s="35">
        <f>COUNTIF(L2:L14,"1")</f>
        <v>13</v>
      </c>
      <c r="M16" s="35"/>
      <c r="N16" s="35">
        <f>COUNTIF(N2:N14,"1")</f>
        <v>7</v>
      </c>
      <c r="O16" s="35"/>
      <c r="P16" s="35">
        <f>COUNTIF(P2:P14,"1")</f>
        <v>13</v>
      </c>
      <c r="Q16" s="35"/>
      <c r="R16" s="35">
        <f>COUNTIF(R2:R14,"1")</f>
        <v>4</v>
      </c>
      <c r="S16" s="35"/>
      <c r="T16" s="35"/>
      <c r="U16" s="35"/>
      <c r="V16" s="35">
        <f t="shared" ref="V16:X16" si="4">SUM(V2:V14)</f>
        <v>11</v>
      </c>
      <c r="W16" s="35">
        <f t="shared" si="4"/>
        <v>9</v>
      </c>
      <c r="X16" s="35">
        <f t="shared" si="4"/>
        <v>10</v>
      </c>
      <c r="Y16" s="20"/>
      <c r="Z16" s="20"/>
      <c r="AA16" s="20"/>
      <c r="AB16" s="20"/>
      <c r="AC16" s="20"/>
      <c r="AD16" s="20"/>
      <c r="AE16" s="20"/>
      <c r="AF16" s="20"/>
      <c r="AG16" s="20"/>
      <c r="AH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row>
  </sheetData>
  <hyperlinks>
    <hyperlink r:id="rId1" ref="B2"/>
    <hyperlink r:id="rId2" ref="U2"/>
    <hyperlink r:id="rId3" ref="B3"/>
    <hyperlink r:id="rId4" ref="U3"/>
    <hyperlink r:id="rId5" ref="B4"/>
    <hyperlink r:id="rId6" ref="U4"/>
    <hyperlink r:id="rId7" ref="B5"/>
    <hyperlink r:id="rId8" ref="U5"/>
    <hyperlink r:id="rId9" ref="B6"/>
    <hyperlink r:id="rId10" ref="S6"/>
    <hyperlink r:id="rId11" ref="U6"/>
    <hyperlink r:id="rId12" ref="B7"/>
    <hyperlink r:id="rId13" ref="U7"/>
    <hyperlink r:id="rId14" ref="B8"/>
    <hyperlink r:id="rId15" location="infocollect" ref="U8"/>
    <hyperlink r:id="rId16" ref="B9"/>
    <hyperlink r:id="rId17" ref="U9"/>
    <hyperlink r:id="rId18" ref="B10"/>
    <hyperlink r:id="rId19" ref="U10"/>
    <hyperlink r:id="rId20" ref="B11"/>
    <hyperlink r:id="rId21" location="optout" ref="U11"/>
    <hyperlink r:id="rId22" ref="B12"/>
    <hyperlink r:id="rId23" ref="U12"/>
    <hyperlink r:id="rId24" ref="B13"/>
    <hyperlink r:id="rId25" ref="U13"/>
    <hyperlink r:id="rId26" ref="B14"/>
    <hyperlink r:id="rId27" ref="U14"/>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38"/>
    <col customWidth="1" min="2" max="2" width="26.88"/>
    <col customWidth="1" min="3" max="3" width="15.38"/>
    <col customWidth="1" min="4" max="4" width="15.13"/>
    <col customWidth="1" min="5" max="5" width="16.63"/>
    <col customWidth="1" min="6" max="8" width="15.13"/>
    <col customWidth="1" min="9" max="9" width="34.5"/>
    <col customWidth="1" min="10" max="10" width="15.13"/>
    <col customWidth="1" min="11" max="11" width="34.5"/>
    <col customWidth="1" min="12" max="12" width="16.25"/>
    <col customWidth="1" min="13" max="13" width="34.5"/>
    <col customWidth="1" min="14" max="14" width="16.88"/>
    <col customWidth="1" min="15" max="15" width="34.5"/>
    <col customWidth="1" min="16" max="16" width="15.13"/>
    <col customWidth="1" min="17" max="17" width="34.5"/>
    <col customWidth="1" min="18" max="18" width="15.13"/>
    <col customWidth="1" min="19" max="27" width="34.5"/>
  </cols>
  <sheetData>
    <row r="1" ht="82.5" customHeight="1">
      <c r="A1" s="1"/>
      <c r="B1" s="1" t="s">
        <v>1</v>
      </c>
      <c r="C1" s="2" t="s">
        <v>2</v>
      </c>
      <c r="D1" s="2" t="s">
        <v>3</v>
      </c>
      <c r="E1" s="3" t="s">
        <v>4</v>
      </c>
      <c r="F1" s="4" t="s">
        <v>5</v>
      </c>
      <c r="G1" s="4" t="s">
        <v>6</v>
      </c>
      <c r="H1" s="5" t="s">
        <v>7</v>
      </c>
      <c r="I1" s="6" t="s">
        <v>8</v>
      </c>
      <c r="J1" s="5" t="s">
        <v>9</v>
      </c>
      <c r="K1" s="6" t="s">
        <v>8</v>
      </c>
      <c r="L1" s="5" t="s">
        <v>10</v>
      </c>
      <c r="M1" s="6" t="s">
        <v>8</v>
      </c>
      <c r="N1" s="5" t="s">
        <v>11</v>
      </c>
      <c r="O1" s="6" t="s">
        <v>8</v>
      </c>
      <c r="P1" s="5" t="s">
        <v>12</v>
      </c>
      <c r="Q1" s="6" t="s">
        <v>8</v>
      </c>
      <c r="R1" s="5" t="s">
        <v>13</v>
      </c>
      <c r="S1" s="6" t="s">
        <v>435</v>
      </c>
      <c r="T1" s="6" t="s">
        <v>8</v>
      </c>
      <c r="U1" s="7" t="s">
        <v>436</v>
      </c>
      <c r="V1" s="4" t="s">
        <v>437</v>
      </c>
      <c r="W1" s="4" t="s">
        <v>438</v>
      </c>
      <c r="X1" s="36" t="s">
        <v>439</v>
      </c>
      <c r="Y1" s="4" t="s">
        <v>440</v>
      </c>
      <c r="Z1" s="4" t="s">
        <v>441</v>
      </c>
      <c r="AA1" s="36" t="s">
        <v>442</v>
      </c>
      <c r="AB1" s="8"/>
      <c r="AC1" s="8"/>
      <c r="AD1" s="8"/>
      <c r="AE1" s="8"/>
      <c r="AF1" s="8"/>
      <c r="AG1" s="8"/>
    </row>
    <row r="2">
      <c r="A2" s="23">
        <v>39.0</v>
      </c>
      <c r="B2" s="10" t="s">
        <v>618</v>
      </c>
      <c r="C2" s="24">
        <v>45194.0</v>
      </c>
      <c r="D2" s="12" t="s">
        <v>30</v>
      </c>
      <c r="E2" s="12" t="s">
        <v>266</v>
      </c>
      <c r="F2" s="14">
        <v>1.0</v>
      </c>
      <c r="G2" s="14" t="s">
        <v>148</v>
      </c>
      <c r="H2" s="16">
        <v>1.0</v>
      </c>
      <c r="I2" s="17" t="s">
        <v>619</v>
      </c>
      <c r="J2" s="16">
        <v>1.0</v>
      </c>
      <c r="K2" s="17" t="s">
        <v>620</v>
      </c>
      <c r="L2" s="16">
        <v>1.0</v>
      </c>
      <c r="M2" s="17" t="s">
        <v>621</v>
      </c>
      <c r="N2" s="16">
        <v>0.0</v>
      </c>
      <c r="O2" s="17" t="s">
        <v>622</v>
      </c>
      <c r="P2" s="16">
        <v>1.0</v>
      </c>
      <c r="Q2" s="17" t="s">
        <v>623</v>
      </c>
      <c r="R2" s="16">
        <v>0.0</v>
      </c>
      <c r="S2" s="18"/>
      <c r="T2" s="18"/>
      <c r="U2" s="29" t="s">
        <v>624</v>
      </c>
      <c r="V2" s="37" t="str">
        <f t="shared" ref="V2:V10" si="1">IF(ISNUMBER(SEARCH("Advertising", G2)), IF(L2 = 1, 1, 0), "")</f>
        <v/>
      </c>
      <c r="W2" s="37" t="str">
        <f t="shared" ref="W2:W10" si="2">IF(ISNUMBER(SEARCH("Advertising", G2)), IF(H2 = 1, 1, 0), "")</f>
        <v/>
      </c>
      <c r="X2" s="38" t="str">
        <f t="shared" ref="X2:X10" si="3">IF(ISNUMBER(SEARCH("Advertising", G2)), IF(J2 = 1, 1, 0), "")</f>
        <v/>
      </c>
      <c r="Y2" s="39" t="str">
        <f t="shared" ref="Y2:Y10" si="4">IF(ISNUMBER(SEARCH("FingerprintGen", G2)), IF(L2 = 1, 1, 0), "")</f>
        <v/>
      </c>
      <c r="Z2" s="39" t="str">
        <f t="shared" ref="Z2:Z10" si="5">IF(ISNUMBER(SEARCH("FingerprintGen", G2)), IF(H2 = 1, 1, 0), "")</f>
        <v/>
      </c>
      <c r="AA2" s="39" t="str">
        <f t="shared" ref="AA2:AA10" si="6">IF(ISNUMBER(SEARCH("FingerprintGen", G2)), IF(J2 = 1, 1, 0), "")</f>
        <v/>
      </c>
      <c r="AB2" s="20"/>
      <c r="AC2" s="20"/>
      <c r="AD2" s="20"/>
      <c r="AE2" s="20"/>
      <c r="AF2" s="20"/>
      <c r="AG2" s="20"/>
    </row>
    <row r="3">
      <c r="A3" s="23">
        <v>46.0</v>
      </c>
      <c r="B3" s="10" t="s">
        <v>625</v>
      </c>
      <c r="C3" s="24">
        <v>45194.0</v>
      </c>
      <c r="D3" s="12" t="s">
        <v>30</v>
      </c>
      <c r="E3" s="12" t="s">
        <v>266</v>
      </c>
      <c r="F3" s="14">
        <v>1.0</v>
      </c>
      <c r="G3" s="14" t="s">
        <v>503</v>
      </c>
      <c r="H3" s="16">
        <v>1.0</v>
      </c>
      <c r="I3" s="17" t="s">
        <v>626</v>
      </c>
      <c r="J3" s="16">
        <v>0.0</v>
      </c>
      <c r="K3" s="17" t="s">
        <v>627</v>
      </c>
      <c r="L3" s="16">
        <v>1.0</v>
      </c>
      <c r="M3" s="17" t="s">
        <v>628</v>
      </c>
      <c r="N3" s="16">
        <v>0.0</v>
      </c>
      <c r="O3" s="17" t="s">
        <v>622</v>
      </c>
      <c r="P3" s="16">
        <v>1.0</v>
      </c>
      <c r="Q3" s="17" t="s">
        <v>623</v>
      </c>
      <c r="R3" s="16">
        <v>0.0</v>
      </c>
      <c r="S3" s="18"/>
      <c r="T3" s="18"/>
      <c r="U3" s="21" t="s">
        <v>629</v>
      </c>
      <c r="V3" s="37">
        <f t="shared" si="1"/>
        <v>1</v>
      </c>
      <c r="W3" s="37">
        <f t="shared" si="2"/>
        <v>1</v>
      </c>
      <c r="X3" s="38">
        <f t="shared" si="3"/>
        <v>0</v>
      </c>
      <c r="Y3" s="39" t="str">
        <f t="shared" si="4"/>
        <v/>
      </c>
      <c r="Z3" s="39" t="str">
        <f t="shared" si="5"/>
        <v/>
      </c>
      <c r="AA3" s="39" t="str">
        <f t="shared" si="6"/>
        <v/>
      </c>
      <c r="AB3" s="20"/>
      <c r="AC3" s="20"/>
      <c r="AD3" s="20"/>
      <c r="AE3" s="20"/>
      <c r="AF3" s="20"/>
      <c r="AG3" s="20"/>
    </row>
    <row r="4">
      <c r="A4" s="23">
        <v>52.0</v>
      </c>
      <c r="B4" s="10" t="s">
        <v>630</v>
      </c>
      <c r="C4" s="24">
        <v>45194.0</v>
      </c>
      <c r="D4" s="12" t="s">
        <v>30</v>
      </c>
      <c r="E4" s="12" t="s">
        <v>266</v>
      </c>
      <c r="F4" s="14">
        <v>1.0</v>
      </c>
      <c r="G4" s="14" t="s">
        <v>631</v>
      </c>
      <c r="H4" s="16">
        <v>1.0</v>
      </c>
      <c r="I4" s="17" t="s">
        <v>632</v>
      </c>
      <c r="J4" s="16">
        <v>0.0</v>
      </c>
      <c r="K4" s="17" t="s">
        <v>633</v>
      </c>
      <c r="L4" s="16">
        <v>0.0</v>
      </c>
      <c r="M4" s="17" t="s">
        <v>634</v>
      </c>
      <c r="N4" s="16">
        <v>0.0</v>
      </c>
      <c r="O4" s="18"/>
      <c r="P4" s="16">
        <v>0.0</v>
      </c>
      <c r="Q4" s="18"/>
      <c r="R4" s="16">
        <v>0.0</v>
      </c>
      <c r="S4" s="17"/>
      <c r="T4" s="18"/>
      <c r="U4" s="28" t="s">
        <v>635</v>
      </c>
      <c r="V4" s="37" t="str">
        <f t="shared" si="1"/>
        <v/>
      </c>
      <c r="W4" s="37" t="str">
        <f t="shared" si="2"/>
        <v/>
      </c>
      <c r="X4" s="38" t="str">
        <f t="shared" si="3"/>
        <v/>
      </c>
      <c r="Y4" s="39" t="str">
        <f t="shared" si="4"/>
        <v/>
      </c>
      <c r="Z4" s="39" t="str">
        <f t="shared" si="5"/>
        <v/>
      </c>
      <c r="AA4" s="39" t="str">
        <f t="shared" si="6"/>
        <v/>
      </c>
      <c r="AB4" s="20"/>
      <c r="AC4" s="20"/>
      <c r="AD4" s="20"/>
      <c r="AE4" s="20"/>
      <c r="AF4" s="20"/>
      <c r="AG4" s="20"/>
    </row>
    <row r="5">
      <c r="A5" s="23">
        <v>66.0</v>
      </c>
      <c r="B5" s="10" t="s">
        <v>636</v>
      </c>
      <c r="C5" s="24">
        <v>45194.0</v>
      </c>
      <c r="D5" s="12" t="s">
        <v>30</v>
      </c>
      <c r="E5" s="12" t="s">
        <v>266</v>
      </c>
      <c r="F5" s="14">
        <v>1.0</v>
      </c>
      <c r="G5" s="14" t="s">
        <v>148</v>
      </c>
      <c r="H5" s="16">
        <v>1.0</v>
      </c>
      <c r="I5" s="17" t="s">
        <v>637</v>
      </c>
      <c r="J5" s="16">
        <v>1.0</v>
      </c>
      <c r="K5" s="17" t="s">
        <v>638</v>
      </c>
      <c r="L5" s="16">
        <v>1.0</v>
      </c>
      <c r="M5" s="17" t="s">
        <v>639</v>
      </c>
      <c r="N5" s="16">
        <v>1.0</v>
      </c>
      <c r="O5" s="17" t="s">
        <v>640</v>
      </c>
      <c r="P5" s="16">
        <v>1.0</v>
      </c>
      <c r="Q5" s="17" t="s">
        <v>215</v>
      </c>
      <c r="R5" s="16">
        <v>0.0</v>
      </c>
      <c r="S5" s="17" t="s">
        <v>487</v>
      </c>
      <c r="T5" s="18"/>
      <c r="U5" s="29" t="s">
        <v>641</v>
      </c>
      <c r="V5" s="37" t="str">
        <f t="shared" si="1"/>
        <v/>
      </c>
      <c r="W5" s="37" t="str">
        <f t="shared" si="2"/>
        <v/>
      </c>
      <c r="X5" s="38" t="str">
        <f t="shared" si="3"/>
        <v/>
      </c>
      <c r="Y5" s="39" t="str">
        <f t="shared" si="4"/>
        <v/>
      </c>
      <c r="Z5" s="39" t="str">
        <f t="shared" si="5"/>
        <v/>
      </c>
      <c r="AA5" s="39" t="str">
        <f t="shared" si="6"/>
        <v/>
      </c>
      <c r="AB5" s="20"/>
      <c r="AC5" s="20"/>
      <c r="AD5" s="20"/>
      <c r="AE5" s="20"/>
      <c r="AF5" s="20"/>
      <c r="AG5" s="20"/>
    </row>
    <row r="6">
      <c r="A6" s="23">
        <v>115.0</v>
      </c>
      <c r="B6" s="10" t="s">
        <v>642</v>
      </c>
      <c r="C6" s="24">
        <v>45194.0</v>
      </c>
      <c r="D6" s="12" t="s">
        <v>30</v>
      </c>
      <c r="E6" s="12" t="s">
        <v>266</v>
      </c>
      <c r="F6" s="14">
        <v>1.0</v>
      </c>
      <c r="G6" s="14" t="s">
        <v>503</v>
      </c>
      <c r="H6" s="16">
        <v>0.0</v>
      </c>
      <c r="I6" s="17" t="s">
        <v>643</v>
      </c>
      <c r="J6" s="16">
        <v>0.0</v>
      </c>
      <c r="K6" s="17" t="s">
        <v>644</v>
      </c>
      <c r="L6" s="16">
        <v>1.0</v>
      </c>
      <c r="M6" s="17" t="s">
        <v>645</v>
      </c>
      <c r="N6" s="16" t="s">
        <v>646</v>
      </c>
      <c r="O6" s="25" t="s">
        <v>647</v>
      </c>
      <c r="P6" s="16">
        <v>0.0</v>
      </c>
      <c r="Q6" s="18"/>
      <c r="R6" s="16">
        <v>0.0</v>
      </c>
      <c r="S6" s="18"/>
      <c r="T6" s="18"/>
      <c r="U6" s="21" t="s">
        <v>648</v>
      </c>
      <c r="V6" s="37">
        <f t="shared" si="1"/>
        <v>1</v>
      </c>
      <c r="W6" s="37">
        <f t="shared" si="2"/>
        <v>0</v>
      </c>
      <c r="X6" s="38">
        <f t="shared" si="3"/>
        <v>0</v>
      </c>
      <c r="Y6" s="39" t="str">
        <f t="shared" si="4"/>
        <v/>
      </c>
      <c r="Z6" s="39" t="str">
        <f t="shared" si="5"/>
        <v/>
      </c>
      <c r="AA6" s="39" t="str">
        <f t="shared" si="6"/>
        <v/>
      </c>
      <c r="AB6" s="20"/>
      <c r="AC6" s="20"/>
      <c r="AD6" s="20"/>
      <c r="AE6" s="20"/>
      <c r="AF6" s="20"/>
      <c r="AG6" s="20"/>
    </row>
    <row r="7">
      <c r="A7" s="23">
        <v>31.0</v>
      </c>
      <c r="B7" s="10" t="s">
        <v>649</v>
      </c>
      <c r="C7" s="24">
        <v>45194.0</v>
      </c>
      <c r="D7" s="12" t="s">
        <v>17</v>
      </c>
      <c r="E7" s="12" t="s">
        <v>266</v>
      </c>
      <c r="F7" s="14">
        <v>0.0</v>
      </c>
      <c r="G7" s="15"/>
      <c r="H7" s="16">
        <v>1.0</v>
      </c>
      <c r="I7" s="17" t="s">
        <v>650</v>
      </c>
      <c r="J7" s="16">
        <v>0.0</v>
      </c>
      <c r="K7" s="17"/>
      <c r="L7" s="16">
        <v>1.0</v>
      </c>
      <c r="M7" s="17" t="s">
        <v>650</v>
      </c>
      <c r="N7" s="16">
        <v>0.0</v>
      </c>
      <c r="O7" s="17" t="s">
        <v>651</v>
      </c>
      <c r="P7" s="16">
        <v>0.0</v>
      </c>
      <c r="Q7" s="18"/>
      <c r="R7" s="16">
        <v>0.0</v>
      </c>
      <c r="S7" s="18"/>
      <c r="T7" s="18"/>
      <c r="U7" s="27" t="s">
        <v>652</v>
      </c>
      <c r="V7" s="37" t="str">
        <f t="shared" si="1"/>
        <v/>
      </c>
      <c r="W7" s="37" t="str">
        <f t="shared" si="2"/>
        <v/>
      </c>
      <c r="X7" s="38" t="str">
        <f t="shared" si="3"/>
        <v/>
      </c>
      <c r="Y7" s="39" t="str">
        <f t="shared" si="4"/>
        <v/>
      </c>
      <c r="Z7" s="39" t="str">
        <f t="shared" si="5"/>
        <v/>
      </c>
      <c r="AA7" s="39" t="str">
        <f t="shared" si="6"/>
        <v/>
      </c>
      <c r="AB7" s="20"/>
      <c r="AC7" s="20"/>
      <c r="AD7" s="20"/>
      <c r="AE7" s="20"/>
      <c r="AF7" s="20"/>
      <c r="AG7" s="20"/>
    </row>
    <row r="8">
      <c r="A8" s="23">
        <v>50.0</v>
      </c>
      <c r="B8" s="10" t="s">
        <v>653</v>
      </c>
      <c r="C8" s="24">
        <v>45194.0</v>
      </c>
      <c r="D8" s="12" t="s">
        <v>17</v>
      </c>
      <c r="E8" s="12" t="s">
        <v>266</v>
      </c>
      <c r="F8" s="14">
        <v>1.0</v>
      </c>
      <c r="G8" s="14" t="s">
        <v>503</v>
      </c>
      <c r="H8" s="16">
        <v>1.0</v>
      </c>
      <c r="I8" s="17" t="s">
        <v>654</v>
      </c>
      <c r="J8" s="16">
        <v>1.0</v>
      </c>
      <c r="K8" s="17" t="s">
        <v>655</v>
      </c>
      <c r="L8" s="16">
        <v>1.0</v>
      </c>
      <c r="M8" s="17" t="s">
        <v>656</v>
      </c>
      <c r="N8" s="16">
        <v>1.0</v>
      </c>
      <c r="O8" s="17" t="s">
        <v>657</v>
      </c>
      <c r="P8" s="16">
        <v>1.0</v>
      </c>
      <c r="Q8" s="17" t="s">
        <v>215</v>
      </c>
      <c r="R8" s="16">
        <v>0.0</v>
      </c>
      <c r="S8" s="18"/>
      <c r="T8" s="18"/>
      <c r="U8" s="21" t="s">
        <v>658</v>
      </c>
      <c r="V8" s="37">
        <f t="shared" si="1"/>
        <v>1</v>
      </c>
      <c r="W8" s="37">
        <f t="shared" si="2"/>
        <v>1</v>
      </c>
      <c r="X8" s="38">
        <f t="shared" si="3"/>
        <v>1</v>
      </c>
      <c r="Y8" s="39" t="str">
        <f t="shared" si="4"/>
        <v/>
      </c>
      <c r="Z8" s="39" t="str">
        <f t="shared" si="5"/>
        <v/>
      </c>
      <c r="AA8" s="39" t="str">
        <f t="shared" si="6"/>
        <v/>
      </c>
      <c r="AB8" s="20"/>
      <c r="AC8" s="20"/>
      <c r="AD8" s="20"/>
      <c r="AE8" s="20"/>
      <c r="AF8" s="20"/>
      <c r="AG8" s="20"/>
    </row>
    <row r="9">
      <c r="A9" s="23">
        <v>53.0</v>
      </c>
      <c r="B9" s="10" t="s">
        <v>659</v>
      </c>
      <c r="C9" s="24">
        <v>45194.0</v>
      </c>
      <c r="D9" s="12" t="s">
        <v>17</v>
      </c>
      <c r="E9" s="12" t="s">
        <v>266</v>
      </c>
      <c r="F9" s="14">
        <v>1.0</v>
      </c>
      <c r="G9" s="14" t="s">
        <v>148</v>
      </c>
      <c r="H9" s="16">
        <v>0.0</v>
      </c>
      <c r="I9" s="17"/>
      <c r="J9" s="16">
        <v>1.0</v>
      </c>
      <c r="K9" s="17" t="s">
        <v>660</v>
      </c>
      <c r="L9" s="16">
        <v>0.0</v>
      </c>
      <c r="M9" s="17"/>
      <c r="N9" s="16">
        <v>0.0</v>
      </c>
      <c r="O9" s="17" t="s">
        <v>661</v>
      </c>
      <c r="P9" s="16">
        <v>0.0</v>
      </c>
      <c r="Q9" s="17"/>
      <c r="R9" s="16">
        <v>0.0</v>
      </c>
      <c r="S9" s="17"/>
      <c r="T9" s="18"/>
      <c r="U9" s="21" t="s">
        <v>662</v>
      </c>
      <c r="V9" s="37" t="str">
        <f t="shared" si="1"/>
        <v/>
      </c>
      <c r="W9" s="37" t="str">
        <f t="shared" si="2"/>
        <v/>
      </c>
      <c r="X9" s="38" t="str">
        <f t="shared" si="3"/>
        <v/>
      </c>
      <c r="Y9" s="39" t="str">
        <f t="shared" si="4"/>
        <v/>
      </c>
      <c r="Z9" s="39" t="str">
        <f t="shared" si="5"/>
        <v/>
      </c>
      <c r="AA9" s="39" t="str">
        <f t="shared" si="6"/>
        <v/>
      </c>
      <c r="AB9" s="20"/>
      <c r="AC9" s="20"/>
      <c r="AD9" s="20"/>
      <c r="AE9" s="20"/>
      <c r="AF9" s="20"/>
      <c r="AG9" s="20"/>
    </row>
    <row r="10">
      <c r="A10" s="23">
        <v>89.0</v>
      </c>
      <c r="B10" s="10" t="s">
        <v>663</v>
      </c>
      <c r="C10" s="24">
        <v>45194.0</v>
      </c>
      <c r="D10" s="12" t="s">
        <v>17</v>
      </c>
      <c r="E10" s="12" t="s">
        <v>266</v>
      </c>
      <c r="F10" s="14">
        <v>1.0</v>
      </c>
      <c r="G10" s="14" t="s">
        <v>664</v>
      </c>
      <c r="H10" s="16">
        <v>1.0</v>
      </c>
      <c r="I10" s="17" t="s">
        <v>665</v>
      </c>
      <c r="J10" s="16">
        <v>1.0</v>
      </c>
      <c r="K10" s="17" t="s">
        <v>666</v>
      </c>
      <c r="L10" s="16">
        <v>1.0</v>
      </c>
      <c r="M10" s="17" t="s">
        <v>665</v>
      </c>
      <c r="N10" s="16">
        <v>0.0</v>
      </c>
      <c r="O10" s="17" t="s">
        <v>667</v>
      </c>
      <c r="P10" s="16">
        <v>1.0</v>
      </c>
      <c r="Q10" s="17" t="s">
        <v>668</v>
      </c>
      <c r="R10" s="16">
        <v>0.0</v>
      </c>
      <c r="S10" s="18"/>
      <c r="T10" s="18"/>
      <c r="U10" s="21" t="s">
        <v>669</v>
      </c>
      <c r="V10" s="37" t="str">
        <f t="shared" si="1"/>
        <v/>
      </c>
      <c r="W10" s="37" t="str">
        <f t="shared" si="2"/>
        <v/>
      </c>
      <c r="X10" s="38" t="str">
        <f t="shared" si="3"/>
        <v/>
      </c>
      <c r="Y10" s="39" t="str">
        <f t="shared" si="4"/>
        <v/>
      </c>
      <c r="Z10" s="39" t="str">
        <f t="shared" si="5"/>
        <v/>
      </c>
      <c r="AA10" s="39" t="str">
        <f t="shared" si="6"/>
        <v/>
      </c>
      <c r="AB10" s="20"/>
      <c r="AC10" s="20"/>
      <c r="AD10" s="20"/>
      <c r="AE10" s="20"/>
      <c r="AF10" s="20"/>
      <c r="AG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42"/>
      <c r="Y11" s="20"/>
      <c r="Z11" s="20"/>
      <c r="AA11" s="20"/>
      <c r="AB11" s="20"/>
      <c r="AC11" s="20"/>
      <c r="AD11" s="20"/>
      <c r="AE11" s="20"/>
      <c r="AF11" s="20"/>
      <c r="AG11" s="20"/>
    </row>
    <row r="12">
      <c r="A12" s="34"/>
      <c r="B12" s="34" t="s">
        <v>425</v>
      </c>
      <c r="C12" s="35"/>
      <c r="D12" s="35"/>
      <c r="E12" s="35"/>
      <c r="F12" s="34" t="s">
        <v>426</v>
      </c>
      <c r="G12" s="34" t="s">
        <v>526</v>
      </c>
      <c r="H12" s="34" t="s">
        <v>427</v>
      </c>
      <c r="I12" s="35"/>
      <c r="J12" s="34" t="s">
        <v>428</v>
      </c>
      <c r="K12" s="35"/>
      <c r="L12" s="34" t="s">
        <v>429</v>
      </c>
      <c r="M12" s="35"/>
      <c r="N12" s="34" t="s">
        <v>430</v>
      </c>
      <c r="O12" s="35"/>
      <c r="P12" s="34" t="s">
        <v>431</v>
      </c>
      <c r="Q12" s="35"/>
      <c r="R12" s="34" t="s">
        <v>432</v>
      </c>
      <c r="S12" s="35"/>
      <c r="T12" s="35"/>
      <c r="U12" s="35"/>
      <c r="V12" s="34" t="s">
        <v>527</v>
      </c>
      <c r="W12" s="34" t="s">
        <v>528</v>
      </c>
      <c r="X12" s="40" t="s">
        <v>529</v>
      </c>
      <c r="Y12" s="34" t="s">
        <v>530</v>
      </c>
      <c r="Z12" s="34" t="s">
        <v>531</v>
      </c>
      <c r="AA12" s="40" t="s">
        <v>532</v>
      </c>
      <c r="AB12" s="20"/>
      <c r="AC12" s="20"/>
      <c r="AD12" s="20"/>
      <c r="AE12" s="20"/>
      <c r="AF12" s="20"/>
      <c r="AG12" s="20"/>
    </row>
    <row r="13">
      <c r="A13" s="34" t="s">
        <v>433</v>
      </c>
      <c r="B13" s="35">
        <f>COUNTIF(B1:B10,"&lt;&gt;") - 1</f>
        <v>9</v>
      </c>
      <c r="C13" s="35"/>
      <c r="D13" s="35"/>
      <c r="E13" s="35"/>
      <c r="F13" s="35">
        <f>COUNTIF(F1:F10,"1")</f>
        <v>8</v>
      </c>
      <c r="G13" s="35">
        <f>COUNTIF(G2:G10,"*Advertising*")</f>
        <v>3</v>
      </c>
      <c r="H13" s="35">
        <f>COUNTIF(H1:H10,"1")</f>
        <v>7</v>
      </c>
      <c r="I13" s="35"/>
      <c r="J13" s="35">
        <f>COUNTIF(J1:J10,"1")</f>
        <v>5</v>
      </c>
      <c r="K13" s="35"/>
      <c r="L13" s="35">
        <f>COUNTIF(L1:L10,"1")</f>
        <v>7</v>
      </c>
      <c r="M13" s="35"/>
      <c r="N13" s="35">
        <f>COUNTIF(N1:N10,"1")</f>
        <v>2</v>
      </c>
      <c r="O13" s="35"/>
      <c r="P13" s="35">
        <f>COUNTIF(P1:P10,"1")</f>
        <v>5</v>
      </c>
      <c r="Q13" s="35"/>
      <c r="R13" s="35">
        <f>COUNTIF(R1:R10,"1")</f>
        <v>0</v>
      </c>
      <c r="S13" s="35"/>
      <c r="T13" s="35"/>
      <c r="U13" s="35"/>
      <c r="V13" s="35">
        <f t="shared" ref="V13:AA13" si="7">SUM(V2:V10)</f>
        <v>3</v>
      </c>
      <c r="W13" s="35">
        <f t="shared" si="7"/>
        <v>2</v>
      </c>
      <c r="X13" s="41">
        <f t="shared" si="7"/>
        <v>1</v>
      </c>
      <c r="Y13" s="35">
        <f t="shared" si="7"/>
        <v>0</v>
      </c>
      <c r="Z13" s="35">
        <f t="shared" si="7"/>
        <v>0</v>
      </c>
      <c r="AA13" s="41">
        <f t="shared" si="7"/>
        <v>0</v>
      </c>
      <c r="AB13" s="20"/>
      <c r="AC13" s="20"/>
      <c r="AD13" s="20"/>
      <c r="AE13" s="20"/>
      <c r="AF13" s="20"/>
      <c r="AG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row>
  </sheetData>
  <hyperlinks>
    <hyperlink r:id="rId1" ref="B2"/>
    <hyperlink r:id="rId2" ref="U2"/>
    <hyperlink r:id="rId3" ref="B3"/>
    <hyperlink r:id="rId4" location="privacypolicy" ref="U3"/>
    <hyperlink r:id="rId5" ref="B4"/>
    <hyperlink r:id="rId6" ref="U4"/>
    <hyperlink r:id="rId7" ref="B5"/>
    <hyperlink r:id="rId8" ref="U5"/>
    <hyperlink r:id="rId9" ref="B6"/>
    <hyperlink r:id="rId10" ref="O6"/>
    <hyperlink r:id="rId11" ref="U6"/>
    <hyperlink r:id="rId12" ref="B7"/>
    <hyperlink r:id="rId13" ref="B8"/>
    <hyperlink r:id="rId14" ref="U8"/>
    <hyperlink r:id="rId15" ref="B9"/>
    <hyperlink r:id="rId16" ref="U9"/>
    <hyperlink r:id="rId17" ref="B10"/>
    <hyperlink r:id="rId18" ref="U10"/>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63"/>
    <col customWidth="1" min="2" max="2" width="26.88"/>
    <col customWidth="1" min="3" max="3" width="15.38"/>
    <col customWidth="1" min="4" max="4" width="15.13"/>
    <col customWidth="1" min="5" max="5" width="16.63"/>
    <col customWidth="1" min="6" max="8" width="15.13"/>
    <col customWidth="1" min="9" max="9" width="34.5"/>
    <col customWidth="1" min="10" max="10" width="15.13"/>
    <col customWidth="1" min="11" max="11" width="34.5"/>
    <col customWidth="1" min="12" max="12" width="16.75"/>
    <col customWidth="1" min="13" max="13" width="34.5"/>
    <col customWidth="1" min="14" max="14" width="16.88"/>
    <col customWidth="1" min="15" max="15" width="34.5"/>
    <col customWidth="1" min="16" max="16" width="15.13"/>
    <col customWidth="1" min="17" max="17" width="34.5"/>
    <col customWidth="1" min="18" max="18" width="15.13"/>
    <col customWidth="1" min="19" max="27" width="34.5"/>
  </cols>
  <sheetData>
    <row r="1" ht="82.5" customHeight="1">
      <c r="A1" s="1" t="s">
        <v>0</v>
      </c>
      <c r="B1" s="1" t="s">
        <v>1</v>
      </c>
      <c r="C1" s="2" t="s">
        <v>2</v>
      </c>
      <c r="D1" s="2" t="s">
        <v>3</v>
      </c>
      <c r="E1" s="3" t="s">
        <v>4</v>
      </c>
      <c r="F1" s="4" t="s">
        <v>5</v>
      </c>
      <c r="G1" s="4" t="s">
        <v>6</v>
      </c>
      <c r="H1" s="5" t="s">
        <v>7</v>
      </c>
      <c r="I1" s="6" t="s">
        <v>8</v>
      </c>
      <c r="J1" s="5" t="s">
        <v>9</v>
      </c>
      <c r="K1" s="6" t="s">
        <v>8</v>
      </c>
      <c r="L1" s="5" t="s">
        <v>670</v>
      </c>
      <c r="M1" s="6" t="s">
        <v>8</v>
      </c>
      <c r="N1" s="5" t="s">
        <v>11</v>
      </c>
      <c r="O1" s="6" t="s">
        <v>8</v>
      </c>
      <c r="P1" s="5" t="s">
        <v>12</v>
      </c>
      <c r="Q1" s="6" t="s">
        <v>8</v>
      </c>
      <c r="R1" s="5" t="s">
        <v>13</v>
      </c>
      <c r="S1" s="6" t="s">
        <v>435</v>
      </c>
      <c r="T1" s="6" t="s">
        <v>8</v>
      </c>
      <c r="U1" s="7" t="s">
        <v>436</v>
      </c>
      <c r="V1" s="4" t="s">
        <v>437</v>
      </c>
      <c r="W1" s="4" t="s">
        <v>438</v>
      </c>
      <c r="X1" s="36" t="s">
        <v>439</v>
      </c>
      <c r="Y1" s="4" t="s">
        <v>440</v>
      </c>
      <c r="Z1" s="4" t="s">
        <v>441</v>
      </c>
      <c r="AA1" s="36" t="s">
        <v>442</v>
      </c>
      <c r="AB1" s="8"/>
      <c r="AC1" s="8"/>
      <c r="AD1" s="8"/>
      <c r="AE1" s="8"/>
      <c r="AF1" s="8"/>
      <c r="AG1" s="8"/>
    </row>
    <row r="2">
      <c r="A2" s="23">
        <v>1.0</v>
      </c>
      <c r="B2" s="10" t="s">
        <v>671</v>
      </c>
      <c r="C2" s="11">
        <v>45194.0</v>
      </c>
      <c r="D2" s="12" t="s">
        <v>17</v>
      </c>
      <c r="E2" s="13">
        <v>45660.0</v>
      </c>
      <c r="F2" s="14">
        <v>0.0</v>
      </c>
      <c r="G2" s="15"/>
      <c r="H2" s="16">
        <v>1.0</v>
      </c>
      <c r="I2" s="17" t="s">
        <v>672</v>
      </c>
      <c r="J2" s="16">
        <v>1.0</v>
      </c>
      <c r="K2" s="17" t="s">
        <v>673</v>
      </c>
      <c r="L2" s="16">
        <v>1.0</v>
      </c>
      <c r="M2" s="17" t="s">
        <v>674</v>
      </c>
      <c r="N2" s="16">
        <v>0.0</v>
      </c>
      <c r="O2" s="17" t="s">
        <v>675</v>
      </c>
      <c r="P2" s="16">
        <v>1.0</v>
      </c>
      <c r="Q2" s="17" t="s">
        <v>676</v>
      </c>
      <c r="R2" s="16">
        <v>0.0</v>
      </c>
      <c r="S2" s="18"/>
      <c r="T2" s="18"/>
      <c r="U2" s="21" t="s">
        <v>677</v>
      </c>
      <c r="V2" s="37" t="str">
        <f t="shared" ref="V2:V11" si="1">IF(ISNUMBER(SEARCH("Advertising", G2)), IF(L2 = 1, 1, 0), "")</f>
        <v/>
      </c>
      <c r="W2" s="37" t="str">
        <f t="shared" ref="W2:W11" si="2">IF(ISNUMBER(SEARCH("Advertising", G2)), IF(H2 = 1, 1, 0), "")</f>
        <v/>
      </c>
      <c r="X2" s="38" t="str">
        <f t="shared" ref="X2:X11" si="3">IF(ISNUMBER(SEARCH("Advertising", G2)), IF(J2 = 1, 1, 0), "")</f>
        <v/>
      </c>
      <c r="Y2" s="39" t="str">
        <f t="shared" ref="Y2:Y11" si="4">IF(ISNUMBER(SEARCH("FingerprintGen", G2)), IF(L2 = 1, 1, 0), "")</f>
        <v/>
      </c>
      <c r="Z2" s="39" t="str">
        <f t="shared" ref="Z2:Z11" si="5">IF(ISNUMBER(SEARCH("FingerprintGen", G2)), IF(H2 = 1, 1, 0), "")</f>
        <v/>
      </c>
      <c r="AA2" s="39" t="str">
        <f t="shared" ref="AA2:AA11" si="6">IF(ISNUMBER(SEARCH("FingerprintGen", G2)), IF(J2 = 1, 1, 0), "")</f>
        <v/>
      </c>
      <c r="AB2" s="20"/>
      <c r="AC2" s="20"/>
      <c r="AD2" s="20"/>
      <c r="AE2" s="20"/>
      <c r="AF2" s="20"/>
      <c r="AG2" s="20"/>
    </row>
    <row r="3">
      <c r="A3" s="23">
        <v>2.0</v>
      </c>
      <c r="B3" s="22" t="s">
        <v>678</v>
      </c>
      <c r="C3" s="24">
        <v>45194.0</v>
      </c>
      <c r="D3" s="12" t="s">
        <v>30</v>
      </c>
      <c r="E3" s="13">
        <v>45660.0</v>
      </c>
      <c r="F3" s="14">
        <v>1.0</v>
      </c>
      <c r="G3" s="14" t="s">
        <v>679</v>
      </c>
      <c r="H3" s="16">
        <v>1.0</v>
      </c>
      <c r="I3" s="17" t="s">
        <v>680</v>
      </c>
      <c r="J3" s="16">
        <v>1.0</v>
      </c>
      <c r="K3" s="17" t="s">
        <v>681</v>
      </c>
      <c r="L3" s="16">
        <v>1.0</v>
      </c>
      <c r="M3" s="17" t="s">
        <v>682</v>
      </c>
      <c r="N3" s="16">
        <v>1.0</v>
      </c>
      <c r="O3" s="17" t="s">
        <v>683</v>
      </c>
      <c r="P3" s="16">
        <v>1.0</v>
      </c>
      <c r="Q3" s="17" t="s">
        <v>60</v>
      </c>
      <c r="R3" s="16">
        <v>0.0</v>
      </c>
      <c r="S3" s="17" t="s">
        <v>487</v>
      </c>
      <c r="T3" s="18"/>
      <c r="U3" s="28" t="s">
        <v>684</v>
      </c>
      <c r="V3" s="37">
        <f t="shared" si="1"/>
        <v>1</v>
      </c>
      <c r="W3" s="37">
        <f t="shared" si="2"/>
        <v>1</v>
      </c>
      <c r="X3" s="38">
        <f t="shared" si="3"/>
        <v>1</v>
      </c>
      <c r="Y3" s="39">
        <f t="shared" si="4"/>
        <v>1</v>
      </c>
      <c r="Z3" s="39">
        <f t="shared" si="5"/>
        <v>1</v>
      </c>
      <c r="AA3" s="39">
        <f t="shared" si="6"/>
        <v>1</v>
      </c>
      <c r="AB3" s="20"/>
      <c r="AC3" s="20"/>
      <c r="AD3" s="20"/>
      <c r="AE3" s="20"/>
      <c r="AF3" s="20"/>
      <c r="AG3" s="20"/>
    </row>
    <row r="4">
      <c r="A4" s="23">
        <v>7.0</v>
      </c>
      <c r="B4" s="22" t="s">
        <v>685</v>
      </c>
      <c r="C4" s="24">
        <v>45194.0</v>
      </c>
      <c r="D4" s="12" t="s">
        <v>30</v>
      </c>
      <c r="E4" s="13">
        <v>45660.0</v>
      </c>
      <c r="F4" s="14">
        <v>1.0</v>
      </c>
      <c r="G4" s="14" t="s">
        <v>686</v>
      </c>
      <c r="H4" s="16">
        <v>1.0</v>
      </c>
      <c r="I4" s="17" t="s">
        <v>687</v>
      </c>
      <c r="J4" s="16">
        <v>1.0</v>
      </c>
      <c r="K4" s="17" t="s">
        <v>688</v>
      </c>
      <c r="L4" s="16">
        <v>1.0</v>
      </c>
      <c r="M4" s="17" t="s">
        <v>689</v>
      </c>
      <c r="N4" s="16">
        <v>1.0</v>
      </c>
      <c r="O4" s="25" t="s">
        <v>690</v>
      </c>
      <c r="P4" s="16">
        <v>1.0</v>
      </c>
      <c r="Q4" s="17" t="s">
        <v>60</v>
      </c>
      <c r="R4" s="16">
        <v>0.0</v>
      </c>
      <c r="S4" s="17" t="s">
        <v>487</v>
      </c>
      <c r="T4" s="18"/>
      <c r="U4" s="29" t="s">
        <v>691</v>
      </c>
      <c r="V4" s="37">
        <f t="shared" si="1"/>
        <v>1</v>
      </c>
      <c r="W4" s="37">
        <f t="shared" si="2"/>
        <v>1</v>
      </c>
      <c r="X4" s="38">
        <f t="shared" si="3"/>
        <v>1</v>
      </c>
      <c r="Y4" s="39">
        <f t="shared" si="4"/>
        <v>1</v>
      </c>
      <c r="Z4" s="39">
        <f t="shared" si="5"/>
        <v>1</v>
      </c>
      <c r="AA4" s="39">
        <f t="shared" si="6"/>
        <v>1</v>
      </c>
      <c r="AB4" s="20"/>
      <c r="AC4" s="20"/>
      <c r="AD4" s="20"/>
      <c r="AE4" s="20"/>
      <c r="AF4" s="20"/>
      <c r="AG4" s="20"/>
    </row>
    <row r="5">
      <c r="A5" s="23">
        <v>8.0</v>
      </c>
      <c r="B5" s="10" t="s">
        <v>692</v>
      </c>
      <c r="C5" s="11">
        <v>45195.0</v>
      </c>
      <c r="D5" s="12" t="s">
        <v>17</v>
      </c>
      <c r="E5" s="13">
        <v>45660.0</v>
      </c>
      <c r="F5" s="14">
        <v>1.0</v>
      </c>
      <c r="G5" s="14" t="s">
        <v>693</v>
      </c>
      <c r="H5" s="16">
        <v>1.0</v>
      </c>
      <c r="I5" s="17" t="s">
        <v>694</v>
      </c>
      <c r="J5" s="16">
        <v>1.0</v>
      </c>
      <c r="K5" s="17" t="s">
        <v>695</v>
      </c>
      <c r="L5" s="16">
        <v>1.0</v>
      </c>
      <c r="M5" s="17" t="s">
        <v>696</v>
      </c>
      <c r="N5" s="16">
        <v>1.0</v>
      </c>
      <c r="O5" s="17" t="s">
        <v>697</v>
      </c>
      <c r="P5" s="16">
        <v>1.0</v>
      </c>
      <c r="Q5" s="17" t="s">
        <v>60</v>
      </c>
      <c r="R5" s="16">
        <v>1.0</v>
      </c>
      <c r="S5" s="17" t="s">
        <v>698</v>
      </c>
      <c r="T5" s="18"/>
      <c r="U5" s="21" t="s">
        <v>699</v>
      </c>
      <c r="V5" s="37">
        <f t="shared" si="1"/>
        <v>1</v>
      </c>
      <c r="W5" s="37">
        <f t="shared" si="2"/>
        <v>1</v>
      </c>
      <c r="X5" s="38">
        <f t="shared" si="3"/>
        <v>1</v>
      </c>
      <c r="Y5" s="39" t="str">
        <f t="shared" si="4"/>
        <v/>
      </c>
      <c r="Z5" s="39" t="str">
        <f t="shared" si="5"/>
        <v/>
      </c>
      <c r="AA5" s="39" t="str">
        <f t="shared" si="6"/>
        <v/>
      </c>
      <c r="AB5" s="20"/>
      <c r="AC5" s="20"/>
      <c r="AD5" s="20"/>
      <c r="AE5" s="20"/>
      <c r="AF5" s="20"/>
      <c r="AG5" s="20"/>
    </row>
    <row r="6">
      <c r="A6" s="23">
        <v>10.0</v>
      </c>
      <c r="B6" s="22" t="s">
        <v>700</v>
      </c>
      <c r="C6" s="11">
        <v>45195.0</v>
      </c>
      <c r="D6" s="12" t="s">
        <v>17</v>
      </c>
      <c r="E6" s="13">
        <v>45660.0</v>
      </c>
      <c r="F6" s="14">
        <v>0.0</v>
      </c>
      <c r="G6" s="15"/>
      <c r="H6" s="16">
        <v>1.0</v>
      </c>
      <c r="I6" s="17" t="s">
        <v>701</v>
      </c>
      <c r="J6" s="16">
        <v>1.0</v>
      </c>
      <c r="K6" s="17" t="s">
        <v>702</v>
      </c>
      <c r="L6" s="16">
        <v>1.0</v>
      </c>
      <c r="M6" s="17" t="s">
        <v>703</v>
      </c>
      <c r="N6" s="16">
        <v>1.0</v>
      </c>
      <c r="O6" s="17" t="s">
        <v>704</v>
      </c>
      <c r="P6" s="16">
        <v>1.0</v>
      </c>
      <c r="Q6" s="17" t="s">
        <v>60</v>
      </c>
      <c r="R6" s="16">
        <v>1.0</v>
      </c>
      <c r="S6" s="17" t="s">
        <v>705</v>
      </c>
      <c r="T6" s="18"/>
      <c r="U6" s="21" t="s">
        <v>706</v>
      </c>
      <c r="V6" s="37" t="str">
        <f t="shared" si="1"/>
        <v/>
      </c>
      <c r="W6" s="37" t="str">
        <f t="shared" si="2"/>
        <v/>
      </c>
      <c r="X6" s="38" t="str">
        <f t="shared" si="3"/>
        <v/>
      </c>
      <c r="Y6" s="39" t="str">
        <f t="shared" si="4"/>
        <v/>
      </c>
      <c r="Z6" s="39" t="str">
        <f t="shared" si="5"/>
        <v/>
      </c>
      <c r="AA6" s="39" t="str">
        <f t="shared" si="6"/>
        <v/>
      </c>
      <c r="AB6" s="20"/>
      <c r="AC6" s="20"/>
      <c r="AD6" s="20"/>
      <c r="AE6" s="20"/>
      <c r="AF6" s="20"/>
      <c r="AG6" s="20"/>
    </row>
    <row r="7">
      <c r="A7" s="23">
        <v>11.0</v>
      </c>
      <c r="B7" s="10" t="s">
        <v>707</v>
      </c>
      <c r="C7" s="11">
        <v>45195.0</v>
      </c>
      <c r="D7" s="12" t="s">
        <v>17</v>
      </c>
      <c r="E7" s="13">
        <v>45660.0</v>
      </c>
      <c r="F7" s="14">
        <v>0.0</v>
      </c>
      <c r="G7" s="15"/>
      <c r="H7" s="16">
        <v>1.0</v>
      </c>
      <c r="I7" s="17" t="s">
        <v>708</v>
      </c>
      <c r="J7" s="16">
        <v>1.0</v>
      </c>
      <c r="K7" s="17" t="s">
        <v>709</v>
      </c>
      <c r="L7" s="16">
        <v>1.0</v>
      </c>
      <c r="M7" s="17" t="s">
        <v>710</v>
      </c>
      <c r="N7" s="16">
        <v>1.0</v>
      </c>
      <c r="O7" s="17" t="s">
        <v>711</v>
      </c>
      <c r="P7" s="16">
        <v>1.0</v>
      </c>
      <c r="Q7" s="17" t="s">
        <v>60</v>
      </c>
      <c r="R7" s="16">
        <v>1.0</v>
      </c>
      <c r="S7" s="17" t="s">
        <v>712</v>
      </c>
      <c r="T7" s="18"/>
      <c r="U7" s="21" t="s">
        <v>713</v>
      </c>
      <c r="V7" s="37" t="str">
        <f t="shared" si="1"/>
        <v/>
      </c>
      <c r="W7" s="37" t="str">
        <f t="shared" si="2"/>
        <v/>
      </c>
      <c r="X7" s="38" t="str">
        <f t="shared" si="3"/>
        <v/>
      </c>
      <c r="Y7" s="39" t="str">
        <f t="shared" si="4"/>
        <v/>
      </c>
      <c r="Z7" s="39" t="str">
        <f t="shared" si="5"/>
        <v/>
      </c>
      <c r="AA7" s="39" t="str">
        <f t="shared" si="6"/>
        <v/>
      </c>
      <c r="AB7" s="20"/>
      <c r="AC7" s="20"/>
      <c r="AD7" s="20"/>
      <c r="AE7" s="20"/>
      <c r="AF7" s="20"/>
      <c r="AG7" s="20"/>
    </row>
    <row r="8">
      <c r="A8" s="23">
        <v>12.0</v>
      </c>
      <c r="B8" s="22" t="s">
        <v>714</v>
      </c>
      <c r="C8" s="24">
        <v>45194.0</v>
      </c>
      <c r="D8" s="12" t="s">
        <v>30</v>
      </c>
      <c r="E8" s="13">
        <v>45660.0</v>
      </c>
      <c r="F8" s="14">
        <v>0.0</v>
      </c>
      <c r="G8" s="15"/>
      <c r="H8" s="16">
        <v>1.0</v>
      </c>
      <c r="I8" s="17" t="s">
        <v>715</v>
      </c>
      <c r="J8" s="16">
        <v>1.0</v>
      </c>
      <c r="K8" s="17" t="s">
        <v>716</v>
      </c>
      <c r="L8" s="16">
        <v>1.0</v>
      </c>
      <c r="M8" s="17" t="s">
        <v>717</v>
      </c>
      <c r="N8" s="16">
        <v>1.0</v>
      </c>
      <c r="O8" s="17" t="s">
        <v>718</v>
      </c>
      <c r="P8" s="16">
        <v>1.0</v>
      </c>
      <c r="Q8" s="17" t="s">
        <v>60</v>
      </c>
      <c r="R8" s="16">
        <v>1.0</v>
      </c>
      <c r="S8" s="17" t="s">
        <v>719</v>
      </c>
      <c r="T8" s="18"/>
      <c r="U8" s="28" t="s">
        <v>720</v>
      </c>
      <c r="V8" s="37" t="str">
        <f t="shared" si="1"/>
        <v/>
      </c>
      <c r="W8" s="37" t="str">
        <f t="shared" si="2"/>
        <v/>
      </c>
      <c r="X8" s="38" t="str">
        <f t="shared" si="3"/>
        <v/>
      </c>
      <c r="Y8" s="39" t="str">
        <f t="shared" si="4"/>
        <v/>
      </c>
      <c r="Z8" s="39" t="str">
        <f t="shared" si="5"/>
        <v/>
      </c>
      <c r="AA8" s="39" t="str">
        <f t="shared" si="6"/>
        <v/>
      </c>
      <c r="AB8" s="20"/>
      <c r="AC8" s="20"/>
      <c r="AD8" s="20"/>
      <c r="AE8" s="20"/>
      <c r="AF8" s="20"/>
      <c r="AG8" s="20"/>
    </row>
    <row r="9">
      <c r="A9" s="23">
        <v>13.0</v>
      </c>
      <c r="B9" s="22" t="s">
        <v>721</v>
      </c>
      <c r="C9" s="11">
        <v>45195.0</v>
      </c>
      <c r="D9" s="12" t="s">
        <v>17</v>
      </c>
      <c r="E9" s="13">
        <v>45660.0</v>
      </c>
      <c r="F9" s="14">
        <v>1.0</v>
      </c>
      <c r="G9" s="14" t="s">
        <v>503</v>
      </c>
      <c r="H9" s="16">
        <v>1.0</v>
      </c>
      <c r="I9" s="17" t="s">
        <v>722</v>
      </c>
      <c r="J9" s="16">
        <v>1.0</v>
      </c>
      <c r="K9" s="17" t="s">
        <v>723</v>
      </c>
      <c r="L9" s="16">
        <v>1.0</v>
      </c>
      <c r="M9" s="17" t="s">
        <v>724</v>
      </c>
      <c r="N9" s="16">
        <v>0.0</v>
      </c>
      <c r="O9" s="18"/>
      <c r="P9" s="16">
        <v>1.0</v>
      </c>
      <c r="Q9" s="17" t="s">
        <v>725</v>
      </c>
      <c r="R9" s="16">
        <v>0.0</v>
      </c>
      <c r="S9" s="17"/>
      <c r="T9" s="17" t="s">
        <v>726</v>
      </c>
      <c r="U9" s="21" t="s">
        <v>727</v>
      </c>
      <c r="V9" s="37">
        <f t="shared" si="1"/>
        <v>1</v>
      </c>
      <c r="W9" s="37">
        <f t="shared" si="2"/>
        <v>1</v>
      </c>
      <c r="X9" s="38">
        <f t="shared" si="3"/>
        <v>1</v>
      </c>
      <c r="Y9" s="39" t="str">
        <f t="shared" si="4"/>
        <v/>
      </c>
      <c r="Z9" s="39" t="str">
        <f t="shared" si="5"/>
        <v/>
      </c>
      <c r="AA9" s="39" t="str">
        <f t="shared" si="6"/>
        <v/>
      </c>
      <c r="AB9" s="20"/>
      <c r="AC9" s="20"/>
      <c r="AD9" s="20"/>
      <c r="AE9" s="20"/>
      <c r="AF9" s="20"/>
      <c r="AG9" s="20"/>
    </row>
    <row r="10">
      <c r="A10" s="23">
        <v>15.0</v>
      </c>
      <c r="B10" s="22" t="s">
        <v>728</v>
      </c>
      <c r="C10" s="24">
        <v>45194.0</v>
      </c>
      <c r="D10" s="12" t="s">
        <v>30</v>
      </c>
      <c r="E10" s="13">
        <v>45660.0</v>
      </c>
      <c r="F10" s="14">
        <v>1.0</v>
      </c>
      <c r="G10" s="14" t="s">
        <v>503</v>
      </c>
      <c r="H10" s="16">
        <v>1.0</v>
      </c>
      <c r="I10" s="17" t="s">
        <v>729</v>
      </c>
      <c r="J10" s="16">
        <v>1.0</v>
      </c>
      <c r="K10" s="17" t="s">
        <v>730</v>
      </c>
      <c r="L10" s="16">
        <v>1.0</v>
      </c>
      <c r="M10" s="17" t="s">
        <v>731</v>
      </c>
      <c r="N10" s="16">
        <v>1.0</v>
      </c>
      <c r="O10" s="17" t="s">
        <v>732</v>
      </c>
      <c r="P10" s="16">
        <v>0.0</v>
      </c>
      <c r="Q10" s="17"/>
      <c r="R10" s="16">
        <v>0.0</v>
      </c>
      <c r="S10" s="17" t="s">
        <v>487</v>
      </c>
      <c r="T10" s="18"/>
      <c r="U10" s="21" t="s">
        <v>733</v>
      </c>
      <c r="V10" s="37">
        <f t="shared" si="1"/>
        <v>1</v>
      </c>
      <c r="W10" s="37">
        <f t="shared" si="2"/>
        <v>1</v>
      </c>
      <c r="X10" s="38">
        <f t="shared" si="3"/>
        <v>1</v>
      </c>
      <c r="Y10" s="39" t="str">
        <f t="shared" si="4"/>
        <v/>
      </c>
      <c r="Z10" s="39" t="str">
        <f t="shared" si="5"/>
        <v/>
      </c>
      <c r="AA10" s="39" t="str">
        <f t="shared" si="6"/>
        <v/>
      </c>
      <c r="AB10" s="20"/>
      <c r="AC10" s="20"/>
      <c r="AD10" s="20"/>
      <c r="AE10" s="20"/>
      <c r="AF10" s="20"/>
      <c r="AG10" s="20"/>
    </row>
    <row r="11">
      <c r="A11" s="23">
        <v>18.0</v>
      </c>
      <c r="B11" s="22" t="s">
        <v>734</v>
      </c>
      <c r="C11" s="24">
        <v>45194.0</v>
      </c>
      <c r="D11" s="12" t="s">
        <v>30</v>
      </c>
      <c r="E11" s="13">
        <v>45660.0</v>
      </c>
      <c r="F11" s="14">
        <v>1.0</v>
      </c>
      <c r="G11" s="14" t="s">
        <v>735</v>
      </c>
      <c r="H11" s="16">
        <v>1.0</v>
      </c>
      <c r="I11" s="17" t="s">
        <v>736</v>
      </c>
      <c r="J11" s="16">
        <v>1.0</v>
      </c>
      <c r="K11" s="17" t="s">
        <v>737</v>
      </c>
      <c r="L11" s="16">
        <v>1.0</v>
      </c>
      <c r="M11" s="17" t="s">
        <v>738</v>
      </c>
      <c r="N11" s="16">
        <v>1.0</v>
      </c>
      <c r="O11" s="17" t="s">
        <v>739</v>
      </c>
      <c r="P11" s="16">
        <v>1.0</v>
      </c>
      <c r="Q11" s="17" t="s">
        <v>60</v>
      </c>
      <c r="R11" s="16">
        <v>0.0</v>
      </c>
      <c r="S11" s="17" t="s">
        <v>487</v>
      </c>
      <c r="T11" s="17" t="s">
        <v>740</v>
      </c>
      <c r="U11" s="29" t="s">
        <v>741</v>
      </c>
      <c r="V11" s="37">
        <f t="shared" si="1"/>
        <v>1</v>
      </c>
      <c r="W11" s="37">
        <f t="shared" si="2"/>
        <v>1</v>
      </c>
      <c r="X11" s="38">
        <f t="shared" si="3"/>
        <v>1</v>
      </c>
      <c r="Y11" s="39" t="str">
        <f t="shared" si="4"/>
        <v/>
      </c>
      <c r="Z11" s="39" t="str">
        <f t="shared" si="5"/>
        <v/>
      </c>
      <c r="AA11" s="39" t="str">
        <f t="shared" si="6"/>
        <v/>
      </c>
      <c r="AB11" s="20"/>
      <c r="AC11" s="20"/>
      <c r="AD11" s="20"/>
      <c r="AE11" s="20"/>
      <c r="AF11" s="20"/>
      <c r="AG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42"/>
      <c r="Y12" s="20"/>
      <c r="Z12" s="20"/>
      <c r="AA12" s="20"/>
      <c r="AB12" s="20"/>
      <c r="AC12" s="20"/>
      <c r="AD12" s="20"/>
      <c r="AE12" s="20"/>
      <c r="AF12" s="20"/>
      <c r="AG12" s="20"/>
    </row>
    <row r="13">
      <c r="A13" s="34"/>
      <c r="B13" s="34" t="s">
        <v>425</v>
      </c>
      <c r="C13" s="35"/>
      <c r="D13" s="35"/>
      <c r="E13" s="35"/>
      <c r="F13" s="34" t="s">
        <v>426</v>
      </c>
      <c r="G13" s="34" t="s">
        <v>526</v>
      </c>
      <c r="H13" s="34" t="s">
        <v>427</v>
      </c>
      <c r="I13" s="35"/>
      <c r="J13" s="34" t="s">
        <v>428</v>
      </c>
      <c r="K13" s="35"/>
      <c r="L13" s="34" t="s">
        <v>429</v>
      </c>
      <c r="M13" s="35"/>
      <c r="N13" s="34" t="s">
        <v>430</v>
      </c>
      <c r="O13" s="35"/>
      <c r="P13" s="34" t="s">
        <v>431</v>
      </c>
      <c r="Q13" s="35"/>
      <c r="R13" s="34" t="s">
        <v>432</v>
      </c>
      <c r="S13" s="35"/>
      <c r="T13" s="35"/>
      <c r="U13" s="35"/>
      <c r="V13" s="34" t="s">
        <v>527</v>
      </c>
      <c r="W13" s="34" t="s">
        <v>528</v>
      </c>
      <c r="X13" s="40" t="s">
        <v>529</v>
      </c>
      <c r="Y13" s="34" t="s">
        <v>530</v>
      </c>
      <c r="Z13" s="34" t="s">
        <v>531</v>
      </c>
      <c r="AA13" s="40" t="s">
        <v>532</v>
      </c>
      <c r="AB13" s="20"/>
      <c r="AC13" s="20"/>
      <c r="AD13" s="20"/>
      <c r="AE13" s="20"/>
      <c r="AF13" s="20"/>
      <c r="AG13" s="20"/>
    </row>
    <row r="14">
      <c r="A14" s="34" t="s">
        <v>433</v>
      </c>
      <c r="B14" s="35">
        <f>COUNTIF(B1:B11,"&lt;&gt;") - 1</f>
        <v>10</v>
      </c>
      <c r="C14" s="35"/>
      <c r="D14" s="35"/>
      <c r="E14" s="35"/>
      <c r="F14" s="35">
        <f>COUNTIF(F2:F11,"1")</f>
        <v>6</v>
      </c>
      <c r="G14" s="35">
        <f>COUNTIF(G2:G11,"*Advertising*")</f>
        <v>6</v>
      </c>
      <c r="H14" s="35">
        <f>COUNTIF(H2:H11,"1")</f>
        <v>10</v>
      </c>
      <c r="I14" s="35"/>
      <c r="J14" s="35">
        <f>COUNTIF(J2:J11,"1")</f>
        <v>10</v>
      </c>
      <c r="K14" s="35"/>
      <c r="L14" s="35">
        <f>COUNTIF(L2:L11,"1")</f>
        <v>10</v>
      </c>
      <c r="M14" s="35"/>
      <c r="N14" s="35">
        <f>COUNTIF(N2:N11,"1")</f>
        <v>8</v>
      </c>
      <c r="O14" s="35"/>
      <c r="P14" s="35">
        <f>COUNTIF(P2:P11,"1")</f>
        <v>9</v>
      </c>
      <c r="Q14" s="35"/>
      <c r="R14" s="35">
        <f>COUNTIF(R2:R11,"1")</f>
        <v>4</v>
      </c>
      <c r="S14" s="35"/>
      <c r="T14" s="35"/>
      <c r="U14" s="35"/>
      <c r="V14" s="35">
        <f t="shared" ref="V14:AA14" si="7">SUM(V2:V11)</f>
        <v>6</v>
      </c>
      <c r="W14" s="35">
        <f t="shared" si="7"/>
        <v>6</v>
      </c>
      <c r="X14" s="35">
        <f t="shared" si="7"/>
        <v>6</v>
      </c>
      <c r="Y14" s="35">
        <f t="shared" si="7"/>
        <v>2</v>
      </c>
      <c r="Z14" s="35">
        <f t="shared" si="7"/>
        <v>2</v>
      </c>
      <c r="AA14" s="35">
        <f t="shared" si="7"/>
        <v>2</v>
      </c>
      <c r="AB14" s="20"/>
      <c r="AC14" s="20"/>
      <c r="AD14" s="20"/>
      <c r="AE14" s="20"/>
      <c r="AF14" s="20"/>
      <c r="AG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row>
  </sheetData>
  <hyperlinks>
    <hyperlink r:id="rId1" ref="B2"/>
    <hyperlink r:id="rId2" ref="U2"/>
    <hyperlink r:id="rId3" ref="B3"/>
    <hyperlink r:id="rId4" ref="U3"/>
    <hyperlink r:id="rId5" ref="B4"/>
    <hyperlink r:id="rId6" ref="O4"/>
    <hyperlink r:id="rId7" ref="B5"/>
    <hyperlink r:id="rId8" ref="U5"/>
    <hyperlink r:id="rId9" ref="B6"/>
    <hyperlink r:id="rId10" ref="U6"/>
    <hyperlink r:id="rId11" ref="B7"/>
    <hyperlink r:id="rId12" ref="U7"/>
    <hyperlink r:id="rId13" ref="B8"/>
    <hyperlink r:id="rId14" ref="U8"/>
    <hyperlink r:id="rId15" ref="B9"/>
    <hyperlink r:id="rId16" ref="U9"/>
    <hyperlink r:id="rId17" ref="B10"/>
    <hyperlink r:id="rId18" ref="U10"/>
    <hyperlink r:id="rId19" ref="B11"/>
    <hyperlink r:id="rId20" ref="U1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5" width="22.0"/>
    <col customWidth="1" min="6" max="10" width="18.88"/>
  </cols>
  <sheetData>
    <row r="1">
      <c r="A1" s="43" t="s">
        <v>742</v>
      </c>
      <c r="B1" s="44" t="s">
        <v>743</v>
      </c>
      <c r="C1" s="44" t="s">
        <v>744</v>
      </c>
      <c r="D1" s="44" t="s">
        <v>745</v>
      </c>
      <c r="E1" s="44" t="s">
        <v>746</v>
      </c>
      <c r="F1" s="44" t="s">
        <v>747</v>
      </c>
      <c r="G1" s="34" t="s">
        <v>748</v>
      </c>
      <c r="H1" s="35"/>
      <c r="I1" s="35"/>
      <c r="J1" s="35"/>
      <c r="K1" s="35"/>
      <c r="L1" s="20"/>
      <c r="M1" s="20"/>
      <c r="N1" s="20"/>
      <c r="O1" s="20"/>
      <c r="P1" s="20"/>
      <c r="Q1" s="20"/>
      <c r="R1" s="20"/>
      <c r="S1" s="20"/>
      <c r="T1" s="20"/>
      <c r="U1" s="20"/>
      <c r="V1" s="20"/>
      <c r="W1" s="20"/>
      <c r="X1" s="20"/>
      <c r="Y1" s="20"/>
      <c r="Z1" s="20"/>
    </row>
    <row r="2">
      <c r="A2" s="44" t="s">
        <v>503</v>
      </c>
      <c r="B2" s="35">
        <f>COUNTIF(Advertising!L2:L71,"&lt;&gt;N/A")</f>
        <v>68</v>
      </c>
      <c r="C2" s="35">
        <f>COUNTIF(Advertising!H2:H71,"1")</f>
        <v>65</v>
      </c>
      <c r="D2" s="35">
        <f>COUNTIF(Advertising!J2:J71,"1")</f>
        <v>61</v>
      </c>
      <c r="E2" s="35">
        <f>COUNTIF(Advertising!L2:L71,"1")</f>
        <v>63</v>
      </c>
      <c r="F2" s="35">
        <f>SUM(Advertising!B73)</f>
        <v>70</v>
      </c>
      <c r="G2" s="35">
        <f t="shared" ref="G2:G7" si="1">$E2/$B2</f>
        <v>0.9264705882</v>
      </c>
      <c r="H2" s="35"/>
      <c r="I2" s="35"/>
      <c r="J2" s="35"/>
      <c r="K2" s="35"/>
      <c r="L2" s="20"/>
      <c r="M2" s="20"/>
      <c r="N2" s="20"/>
      <c r="O2" s="20"/>
      <c r="P2" s="20"/>
      <c r="Q2" s="20"/>
      <c r="R2" s="20"/>
      <c r="S2" s="20"/>
      <c r="T2" s="20"/>
      <c r="U2" s="20"/>
      <c r="V2" s="20"/>
      <c r="W2" s="20"/>
      <c r="X2" s="20"/>
      <c r="Y2" s="20"/>
      <c r="Z2" s="20"/>
    </row>
    <row r="3">
      <c r="A3" s="44" t="s">
        <v>148</v>
      </c>
      <c r="B3" s="35">
        <f>COUNTIF(Analytics!B2:B16,"&lt;&gt;")</f>
        <v>15</v>
      </c>
      <c r="C3" s="35">
        <f>COUNTIF(Analytics!H2:H16,"1")</f>
        <v>11</v>
      </c>
      <c r="D3" s="35">
        <f>COUNTIF(Analytics!J2:J16,"1")</f>
        <v>12</v>
      </c>
      <c r="E3" s="35">
        <f>COUNTIF(Analytics!L2:L16,"1")</f>
        <v>8</v>
      </c>
      <c r="F3" s="35">
        <f>SUM(Analytics!G18)</f>
        <v>2</v>
      </c>
      <c r="G3" s="35">
        <f t="shared" si="1"/>
        <v>0.5333333333</v>
      </c>
      <c r="H3" s="35"/>
      <c r="I3" s="35"/>
      <c r="J3" s="35"/>
      <c r="K3" s="35"/>
      <c r="L3" s="20"/>
      <c r="M3" s="20"/>
      <c r="N3" s="20"/>
      <c r="O3" s="20"/>
      <c r="P3" s="20"/>
      <c r="Q3" s="20"/>
      <c r="R3" s="20"/>
      <c r="S3" s="20"/>
      <c r="T3" s="20"/>
      <c r="U3" s="20"/>
      <c r="V3" s="20"/>
      <c r="W3" s="20"/>
      <c r="X3" s="20"/>
      <c r="Y3" s="20"/>
      <c r="Z3" s="20"/>
    </row>
    <row r="4">
      <c r="A4" s="44" t="s">
        <v>224</v>
      </c>
      <c r="B4" s="35">
        <f>COUNTIF(FingerprintGen!B2:B14,"&lt;&gt;")</f>
        <v>13</v>
      </c>
      <c r="C4" s="35">
        <f>COUNTIF(FingerprintGen!H2:H14,"1")</f>
        <v>10</v>
      </c>
      <c r="D4" s="35">
        <f>COUNTIF(FingerprintGen!J2:J14,"1")</f>
        <v>11</v>
      </c>
      <c r="E4" s="35">
        <f>COUNTIF(FingerprintGen!L2:L14,"1")</f>
        <v>13</v>
      </c>
      <c r="F4" s="35">
        <f>SUM(FingerprintGen!G16)</f>
        <v>11</v>
      </c>
      <c r="G4" s="35">
        <f t="shared" si="1"/>
        <v>1</v>
      </c>
      <c r="H4" s="35"/>
      <c r="I4" s="35"/>
      <c r="J4" s="35"/>
      <c r="K4" s="35"/>
      <c r="L4" s="20"/>
      <c r="M4" s="20"/>
      <c r="N4" s="20"/>
      <c r="O4" s="20"/>
      <c r="P4" s="20"/>
      <c r="Q4" s="20"/>
      <c r="R4" s="20"/>
      <c r="S4" s="20"/>
      <c r="T4" s="20"/>
      <c r="U4" s="20"/>
      <c r="V4" s="20"/>
      <c r="W4" s="20"/>
      <c r="X4" s="20"/>
      <c r="Y4" s="20"/>
      <c r="Z4" s="20"/>
    </row>
    <row r="5">
      <c r="A5" s="44" t="s">
        <v>22</v>
      </c>
      <c r="B5" s="35">
        <f>COUNTIF(FingerprintInv!B2:B10,"&lt;&gt;")</f>
        <v>9</v>
      </c>
      <c r="C5" s="35">
        <f>COUNTIF(FingerprintInv!H2:H10,"1")</f>
        <v>7</v>
      </c>
      <c r="D5" s="35">
        <f>COUNTIF(FingerprintInv!J2:J10,"1")</f>
        <v>5</v>
      </c>
      <c r="E5" s="35">
        <f>COUNTIF(FingerprintInv!L2:L10,"1")</f>
        <v>7</v>
      </c>
      <c r="F5" s="35">
        <f>SUM(FingerprintInv!G13)</f>
        <v>3</v>
      </c>
      <c r="G5" s="35">
        <f t="shared" si="1"/>
        <v>0.7777777778</v>
      </c>
      <c r="H5" s="35"/>
      <c r="I5" s="35"/>
      <c r="J5" s="35"/>
      <c r="K5" s="35"/>
      <c r="L5" s="20"/>
      <c r="M5" s="20"/>
      <c r="N5" s="20"/>
      <c r="O5" s="20"/>
      <c r="P5" s="20"/>
      <c r="Q5" s="20"/>
      <c r="R5" s="20"/>
      <c r="S5" s="20"/>
      <c r="T5" s="20"/>
      <c r="U5" s="20"/>
      <c r="V5" s="20"/>
      <c r="W5" s="20"/>
      <c r="X5" s="20"/>
      <c r="Y5" s="20"/>
      <c r="Z5" s="20"/>
    </row>
    <row r="6">
      <c r="A6" s="44" t="s">
        <v>749</v>
      </c>
      <c r="B6" s="35">
        <f>COUNTIF(Social!B2:B11,"&lt;&gt;")</f>
        <v>10</v>
      </c>
      <c r="C6" s="35">
        <f>COUNTIF(Social!H2:H11,"1")</f>
        <v>10</v>
      </c>
      <c r="D6" s="35">
        <f>COUNTIF(Social!J2:J11,"1")</f>
        <v>10</v>
      </c>
      <c r="E6" s="35">
        <f>COUNTIF(Social!L2:L11,"1")</f>
        <v>10</v>
      </c>
      <c r="F6" s="35">
        <f>SUM(Social!G11)</f>
        <v>0</v>
      </c>
      <c r="G6" s="35">
        <f t="shared" si="1"/>
        <v>1</v>
      </c>
      <c r="H6" s="35"/>
      <c r="I6" s="35"/>
      <c r="J6" s="35"/>
      <c r="K6" s="35"/>
      <c r="L6" s="20"/>
      <c r="M6" s="20"/>
      <c r="N6" s="20"/>
      <c r="O6" s="20"/>
      <c r="P6" s="20"/>
      <c r="Q6" s="20"/>
      <c r="R6" s="20"/>
      <c r="S6" s="20"/>
      <c r="T6" s="20"/>
      <c r="U6" s="20"/>
      <c r="V6" s="20"/>
      <c r="W6" s="20"/>
      <c r="X6" s="20"/>
      <c r="Y6" s="20"/>
      <c r="Z6" s="20"/>
    </row>
    <row r="7">
      <c r="A7" s="45" t="s">
        <v>750</v>
      </c>
      <c r="B7" s="46">
        <f t="shared" ref="B7:F7" si="2">SUM(B2:B6)</f>
        <v>115</v>
      </c>
      <c r="C7" s="46">
        <f t="shared" si="2"/>
        <v>103</v>
      </c>
      <c r="D7" s="46">
        <f t="shared" si="2"/>
        <v>99</v>
      </c>
      <c r="E7" s="46">
        <f t="shared" si="2"/>
        <v>101</v>
      </c>
      <c r="F7" s="46">
        <f t="shared" si="2"/>
        <v>86</v>
      </c>
      <c r="G7" s="35">
        <f t="shared" si="1"/>
        <v>0.8782608696</v>
      </c>
      <c r="H7" s="35"/>
      <c r="I7" s="35"/>
      <c r="J7" s="35"/>
      <c r="K7" s="35"/>
      <c r="L7" s="20"/>
      <c r="M7" s="20"/>
      <c r="N7" s="20"/>
      <c r="O7" s="20"/>
      <c r="P7" s="20"/>
      <c r="Q7" s="20"/>
      <c r="R7" s="20"/>
      <c r="S7" s="20"/>
      <c r="T7" s="20"/>
      <c r="U7" s="20"/>
      <c r="V7" s="20"/>
      <c r="W7" s="20"/>
      <c r="X7" s="20"/>
      <c r="Y7" s="20"/>
      <c r="Z7" s="20"/>
    </row>
    <row r="8">
      <c r="A8" s="47"/>
      <c r="B8" s="35"/>
      <c r="C8" s="34"/>
      <c r="D8" s="34"/>
      <c r="E8" s="34"/>
      <c r="F8" s="34"/>
      <c r="G8" s="34"/>
      <c r="H8" s="35"/>
      <c r="I8" s="35"/>
      <c r="J8" s="35"/>
      <c r="K8" s="35"/>
      <c r="L8" s="20"/>
      <c r="M8" s="20"/>
      <c r="N8" s="20"/>
      <c r="O8" s="20"/>
      <c r="P8" s="20"/>
      <c r="Q8" s="20"/>
      <c r="R8" s="20"/>
      <c r="S8" s="20"/>
      <c r="T8" s="20"/>
      <c r="U8" s="20"/>
      <c r="V8" s="20"/>
      <c r="W8" s="20"/>
      <c r="X8" s="20"/>
      <c r="Y8" s="20"/>
      <c r="Z8" s="20"/>
    </row>
    <row r="9">
      <c r="A9" s="47"/>
      <c r="B9" s="35"/>
      <c r="C9" s="34"/>
      <c r="D9" s="34"/>
      <c r="E9" s="34"/>
      <c r="F9" s="34"/>
      <c r="G9" s="34"/>
      <c r="H9" s="35"/>
      <c r="I9" s="35"/>
      <c r="J9" s="35"/>
      <c r="K9" s="35"/>
      <c r="L9" s="20"/>
      <c r="M9" s="20"/>
      <c r="N9" s="20"/>
      <c r="O9" s="20"/>
      <c r="P9" s="20"/>
      <c r="Q9" s="20"/>
      <c r="R9" s="20"/>
      <c r="S9" s="20"/>
      <c r="T9" s="20"/>
      <c r="U9" s="20"/>
      <c r="V9" s="20"/>
      <c r="W9" s="20"/>
      <c r="X9" s="20"/>
      <c r="Y9" s="20"/>
      <c r="Z9" s="20"/>
    </row>
    <row r="10">
      <c r="A10" s="43" t="s">
        <v>751</v>
      </c>
      <c r="B10" s="48" t="str">
        <f t="shared" ref="B10:B15" si="3">B1</f>
        <v>Total # of Sites</v>
      </c>
      <c r="C10" s="44" t="s">
        <v>752</v>
      </c>
      <c r="D10" s="44" t="s">
        <v>753</v>
      </c>
      <c r="E10" s="44" t="s">
        <v>754</v>
      </c>
      <c r="F10" s="44" t="s">
        <v>755</v>
      </c>
      <c r="G10" s="44" t="s">
        <v>756</v>
      </c>
      <c r="H10" s="35"/>
      <c r="I10" s="35"/>
      <c r="J10" s="35"/>
      <c r="K10" s="35"/>
      <c r="L10" s="20"/>
      <c r="M10" s="20"/>
      <c r="N10" s="20"/>
      <c r="O10" s="20"/>
      <c r="P10" s="20"/>
      <c r="Q10" s="20"/>
      <c r="R10" s="20"/>
      <c r="S10" s="20"/>
      <c r="T10" s="20"/>
      <c r="U10" s="20"/>
      <c r="V10" s="20"/>
      <c r="W10" s="20"/>
      <c r="X10" s="20"/>
      <c r="Y10" s="20"/>
      <c r="Z10" s="20"/>
    </row>
    <row r="11">
      <c r="A11" s="44" t="s">
        <v>503</v>
      </c>
      <c r="B11" s="49">
        <f t="shared" si="3"/>
        <v>68</v>
      </c>
      <c r="C11" s="35">
        <f t="shared" ref="C11:C15" si="4">round(C2/B2,2)</f>
        <v>0.96</v>
      </c>
      <c r="D11" s="35">
        <f t="shared" ref="D11:D15" si="5">round(D2/B2,2)</f>
        <v>0.9</v>
      </c>
      <c r="E11" s="35">
        <f t="shared" ref="E11:E15" si="6">round(E2/B2,2)</f>
        <v>0.93</v>
      </c>
      <c r="F11" s="35">
        <f t="shared" ref="F11:F15" si="7">round(F2/B2,2)</f>
        <v>1.03</v>
      </c>
      <c r="G11" s="35">
        <f t="shared" ref="G11:G15" si="8">round(G2/B2,2)</f>
        <v>0.01</v>
      </c>
      <c r="H11" s="35"/>
      <c r="I11" s="35"/>
      <c r="J11" s="35"/>
      <c r="K11" s="35"/>
      <c r="L11" s="20"/>
      <c r="M11" s="20"/>
      <c r="N11" s="20"/>
      <c r="O11" s="20"/>
      <c r="P11" s="20"/>
      <c r="Q11" s="20"/>
      <c r="R11" s="20"/>
      <c r="S11" s="20"/>
      <c r="T11" s="20"/>
      <c r="U11" s="20"/>
      <c r="V11" s="20"/>
      <c r="W11" s="20"/>
      <c r="X11" s="20"/>
      <c r="Y11" s="20"/>
      <c r="Z11" s="20"/>
    </row>
    <row r="12">
      <c r="A12" s="44" t="s">
        <v>148</v>
      </c>
      <c r="B12" s="49">
        <f t="shared" si="3"/>
        <v>15</v>
      </c>
      <c r="C12" s="35">
        <f t="shared" si="4"/>
        <v>0.73</v>
      </c>
      <c r="D12" s="35">
        <f t="shared" si="5"/>
        <v>0.8</v>
      </c>
      <c r="E12" s="35">
        <f t="shared" si="6"/>
        <v>0.53</v>
      </c>
      <c r="F12" s="35">
        <f t="shared" si="7"/>
        <v>0.13</v>
      </c>
      <c r="G12" s="35">
        <f t="shared" si="8"/>
        <v>0.04</v>
      </c>
      <c r="H12" s="35"/>
      <c r="I12" s="35"/>
      <c r="J12" s="35"/>
      <c r="K12" s="35"/>
      <c r="L12" s="20"/>
      <c r="M12" s="20"/>
      <c r="N12" s="20"/>
      <c r="O12" s="20"/>
      <c r="P12" s="20"/>
      <c r="Q12" s="20"/>
      <c r="R12" s="20"/>
      <c r="S12" s="20"/>
      <c r="T12" s="20"/>
      <c r="U12" s="20"/>
      <c r="V12" s="20"/>
      <c r="W12" s="20"/>
      <c r="X12" s="20"/>
      <c r="Y12" s="20"/>
      <c r="Z12" s="20"/>
    </row>
    <row r="13">
      <c r="A13" s="44" t="s">
        <v>224</v>
      </c>
      <c r="B13" s="49">
        <f t="shared" si="3"/>
        <v>13</v>
      </c>
      <c r="C13" s="35">
        <f t="shared" si="4"/>
        <v>0.77</v>
      </c>
      <c r="D13" s="35">
        <f t="shared" si="5"/>
        <v>0.85</v>
      </c>
      <c r="E13" s="35">
        <f t="shared" si="6"/>
        <v>1</v>
      </c>
      <c r="F13" s="35">
        <f t="shared" si="7"/>
        <v>0.85</v>
      </c>
      <c r="G13" s="35">
        <f t="shared" si="8"/>
        <v>0.08</v>
      </c>
      <c r="H13" s="35"/>
      <c r="I13" s="35"/>
      <c r="J13" s="35"/>
      <c r="K13" s="35"/>
      <c r="L13" s="20"/>
      <c r="M13" s="20"/>
      <c r="N13" s="20"/>
      <c r="O13" s="20"/>
      <c r="P13" s="20"/>
      <c r="Q13" s="20"/>
      <c r="R13" s="20"/>
      <c r="S13" s="20"/>
      <c r="T13" s="20"/>
      <c r="U13" s="20"/>
      <c r="V13" s="20"/>
      <c r="W13" s="20"/>
      <c r="X13" s="20"/>
      <c r="Y13" s="20"/>
      <c r="Z13" s="20"/>
    </row>
    <row r="14">
      <c r="A14" s="44" t="s">
        <v>22</v>
      </c>
      <c r="B14" s="49">
        <f t="shared" si="3"/>
        <v>9</v>
      </c>
      <c r="C14" s="35">
        <f t="shared" si="4"/>
        <v>0.78</v>
      </c>
      <c r="D14" s="35">
        <f t="shared" si="5"/>
        <v>0.56</v>
      </c>
      <c r="E14" s="35">
        <f t="shared" si="6"/>
        <v>0.78</v>
      </c>
      <c r="F14" s="35">
        <f t="shared" si="7"/>
        <v>0.33</v>
      </c>
      <c r="G14" s="35">
        <f t="shared" si="8"/>
        <v>0.09</v>
      </c>
      <c r="H14" s="35"/>
      <c r="I14" s="35"/>
      <c r="J14" s="35"/>
      <c r="K14" s="35"/>
      <c r="L14" s="20"/>
      <c r="M14" s="20"/>
      <c r="N14" s="20"/>
      <c r="O14" s="20"/>
      <c r="P14" s="20"/>
      <c r="Q14" s="20"/>
      <c r="R14" s="20"/>
      <c r="S14" s="20"/>
      <c r="T14" s="20"/>
      <c r="U14" s="20"/>
      <c r="V14" s="20"/>
      <c r="W14" s="20"/>
      <c r="X14" s="20"/>
      <c r="Y14" s="20"/>
      <c r="Z14" s="20"/>
    </row>
    <row r="15">
      <c r="A15" s="44" t="s">
        <v>749</v>
      </c>
      <c r="B15" s="49">
        <f t="shared" si="3"/>
        <v>10</v>
      </c>
      <c r="C15" s="35">
        <f t="shared" si="4"/>
        <v>1</v>
      </c>
      <c r="D15" s="35">
        <f t="shared" si="5"/>
        <v>1</v>
      </c>
      <c r="E15" s="35">
        <f t="shared" si="6"/>
        <v>1</v>
      </c>
      <c r="F15" s="35">
        <f t="shared" si="7"/>
        <v>0</v>
      </c>
      <c r="G15" s="35">
        <f t="shared" si="8"/>
        <v>0.1</v>
      </c>
      <c r="H15" s="35"/>
      <c r="I15" s="35"/>
      <c r="J15" s="35"/>
      <c r="K15" s="35"/>
      <c r="L15" s="20"/>
      <c r="M15" s="20"/>
      <c r="N15" s="20"/>
      <c r="O15" s="20"/>
      <c r="P15" s="20"/>
      <c r="Q15" s="20"/>
      <c r="R15" s="20"/>
      <c r="S15" s="20"/>
      <c r="T15" s="20"/>
      <c r="U15" s="20"/>
      <c r="V15" s="20"/>
      <c r="W15" s="20"/>
      <c r="X15" s="20"/>
      <c r="Y15" s="20"/>
      <c r="Z15" s="20"/>
    </row>
    <row r="16">
      <c r="A16" s="35"/>
      <c r="B16" s="35"/>
      <c r="C16" s="35"/>
      <c r="D16" s="35"/>
      <c r="E16" s="35"/>
      <c r="F16" s="35"/>
      <c r="G16" s="35"/>
      <c r="H16" s="35"/>
      <c r="I16" s="35"/>
      <c r="J16" s="35"/>
      <c r="K16" s="35"/>
      <c r="L16" s="20"/>
      <c r="M16" s="20"/>
      <c r="N16" s="20"/>
      <c r="O16" s="20"/>
      <c r="P16" s="20"/>
      <c r="Q16" s="20"/>
      <c r="R16" s="20"/>
      <c r="S16" s="20"/>
      <c r="T16" s="20"/>
      <c r="U16" s="20"/>
      <c r="V16" s="20"/>
      <c r="W16" s="20"/>
      <c r="X16" s="20"/>
      <c r="Y16" s="20"/>
      <c r="Z16" s="20"/>
    </row>
    <row r="17">
      <c r="A17" s="35"/>
      <c r="B17" s="35"/>
      <c r="C17" s="35"/>
      <c r="D17" s="35"/>
      <c r="E17" s="35"/>
      <c r="F17" s="35"/>
      <c r="G17" s="35"/>
      <c r="H17" s="35"/>
      <c r="I17" s="35"/>
      <c r="J17" s="35"/>
      <c r="K17" s="35"/>
      <c r="L17" s="20"/>
      <c r="M17" s="20"/>
      <c r="N17" s="20"/>
      <c r="O17" s="20"/>
      <c r="P17" s="20"/>
      <c r="Q17" s="20"/>
      <c r="R17" s="20"/>
      <c r="S17" s="20"/>
      <c r="T17" s="20"/>
      <c r="U17" s="20"/>
      <c r="V17" s="20"/>
      <c r="W17" s="20"/>
      <c r="X17" s="20"/>
      <c r="Y17" s="20"/>
      <c r="Z17" s="20"/>
    </row>
    <row r="18">
      <c r="A18" s="43" t="s">
        <v>757</v>
      </c>
      <c r="B18" s="44" t="s">
        <v>743</v>
      </c>
      <c r="C18" s="44" t="s">
        <v>752</v>
      </c>
      <c r="D18" s="44" t="s">
        <v>753</v>
      </c>
      <c r="E18" s="44" t="s">
        <v>754</v>
      </c>
      <c r="F18" s="35"/>
      <c r="G18" s="34"/>
      <c r="H18" s="35"/>
      <c r="I18" s="35"/>
      <c r="J18" s="35"/>
      <c r="K18" s="35"/>
      <c r="L18" s="20"/>
      <c r="M18" s="20"/>
      <c r="N18" s="20"/>
      <c r="O18" s="20"/>
      <c r="P18" s="20"/>
      <c r="Q18" s="20"/>
      <c r="R18" s="20"/>
      <c r="S18" s="20"/>
      <c r="T18" s="20"/>
      <c r="U18" s="20"/>
      <c r="V18" s="20"/>
      <c r="W18" s="20"/>
      <c r="X18" s="20"/>
      <c r="Y18" s="20"/>
      <c r="Z18" s="20"/>
    </row>
    <row r="19">
      <c r="A19" s="44" t="s">
        <v>758</v>
      </c>
      <c r="B19" s="35">
        <f>SUM(B2,Analytics!G18,FingerprintGen!B16,FingerprintInv!G13,Social!B14,Analytics!G20)</f>
        <v>97</v>
      </c>
      <c r="C19" s="35">
        <f>ROUND(SUM(Analytics!W18, Advertising!H73, FingerprintGen!H16,FingerprintInv!W13,Social!H14,Analytics!Z18)/B19,2)</f>
        <v>0.93</v>
      </c>
      <c r="D19" s="35">
        <f>ROUND(SUM(Advertising!J73,Analytics!X18,FingerprintGen!J16,FingerprintInv!X13,Social!J14,Analytics!AA18)/B19,2)</f>
        <v>0.89</v>
      </c>
      <c r="E19" s="35">
        <f>ROUND(SUM(Advertising!L73,Analytics!V18,FingerprintGen!L16,FingerprintInv!V13,Social!L14,Analytics!Y18)/B19,2)</f>
        <v>0.95</v>
      </c>
      <c r="F19" s="34"/>
      <c r="G19" s="35"/>
      <c r="H19" s="35"/>
      <c r="I19" s="37"/>
      <c r="J19" s="50"/>
      <c r="K19" s="37"/>
      <c r="L19" s="20"/>
      <c r="M19" s="20"/>
      <c r="N19" s="20"/>
      <c r="O19" s="20"/>
      <c r="P19" s="20"/>
      <c r="Q19" s="20"/>
      <c r="R19" s="20"/>
      <c r="S19" s="20"/>
      <c r="T19" s="20"/>
      <c r="U19" s="20"/>
      <c r="V19" s="20"/>
      <c r="W19" s="20"/>
      <c r="X19" s="20"/>
      <c r="Y19" s="20"/>
      <c r="Z19" s="20"/>
    </row>
    <row r="20">
      <c r="A20" s="37"/>
      <c r="B20" s="37"/>
      <c r="C20" s="37"/>
      <c r="D20" s="37"/>
      <c r="E20" s="37"/>
      <c r="F20" s="35"/>
      <c r="G20" s="35"/>
      <c r="H20" s="35"/>
      <c r="I20" s="37"/>
      <c r="J20" s="37"/>
      <c r="K20" s="37"/>
      <c r="L20" s="20"/>
      <c r="M20" s="20"/>
      <c r="N20" s="20"/>
      <c r="O20" s="20"/>
      <c r="P20" s="20"/>
      <c r="Q20" s="20"/>
      <c r="R20" s="20"/>
      <c r="S20" s="20"/>
      <c r="T20" s="20"/>
      <c r="U20" s="20"/>
      <c r="V20" s="20"/>
      <c r="W20" s="20"/>
      <c r="X20" s="20"/>
      <c r="Y20" s="20"/>
      <c r="Z20" s="20"/>
    </row>
    <row r="21">
      <c r="A21" s="37"/>
      <c r="B21" s="37"/>
      <c r="C21" s="37"/>
      <c r="D21" s="37"/>
      <c r="E21" s="37"/>
      <c r="F21" s="50"/>
      <c r="G21" s="50"/>
      <c r="H21" s="35"/>
      <c r="I21" s="37"/>
      <c r="J21" s="37"/>
      <c r="K21" s="37"/>
      <c r="L21" s="20"/>
      <c r="M21" s="20"/>
      <c r="N21" s="20"/>
      <c r="O21" s="20"/>
      <c r="P21" s="20"/>
      <c r="Q21" s="20"/>
      <c r="R21" s="20"/>
      <c r="S21" s="20"/>
      <c r="T21" s="20"/>
      <c r="U21" s="20"/>
      <c r="V21" s="20"/>
      <c r="W21" s="20"/>
      <c r="X21" s="20"/>
      <c r="Y21" s="20"/>
      <c r="Z21" s="20"/>
    </row>
    <row r="22">
      <c r="A22" s="51" t="s">
        <v>759</v>
      </c>
      <c r="B22" s="44" t="s">
        <v>752</v>
      </c>
      <c r="C22" s="44" t="s">
        <v>753</v>
      </c>
      <c r="D22" s="44" t="s">
        <v>754</v>
      </c>
      <c r="E22" s="52"/>
      <c r="F22" s="53"/>
      <c r="G22" s="54"/>
      <c r="H22" s="35"/>
      <c r="I22" s="34"/>
      <c r="J22" s="34"/>
      <c r="K22" s="37"/>
      <c r="L22" s="20"/>
      <c r="M22" s="20"/>
      <c r="N22" s="20"/>
      <c r="O22" s="20"/>
      <c r="P22" s="20"/>
      <c r="Q22" s="20"/>
      <c r="R22" s="20"/>
      <c r="S22" s="20"/>
      <c r="T22" s="20"/>
      <c r="U22" s="20"/>
      <c r="V22" s="20"/>
      <c r="W22" s="20"/>
      <c r="X22" s="20"/>
      <c r="Y22" s="20"/>
      <c r="Z22" s="20"/>
    </row>
    <row r="23">
      <c r="A23" s="44" t="s">
        <v>758</v>
      </c>
      <c r="B23" s="55">
        <f>SQRT(C19*(1-C19)/B19)</f>
        <v>0.02590625447</v>
      </c>
      <c r="C23" s="55">
        <f>SQRT(D19*(1-D19)/B19)</f>
        <v>0.03176914148</v>
      </c>
      <c r="D23" s="55">
        <f>SQRT(E19*(1-E19)/B19)</f>
        <v>0.02212895663</v>
      </c>
      <c r="E23" s="56"/>
      <c r="F23" s="57"/>
      <c r="G23" s="56"/>
      <c r="H23" s="34"/>
      <c r="I23" s="34"/>
      <c r="J23" s="34"/>
      <c r="K23" s="37"/>
      <c r="L23" s="20"/>
      <c r="M23" s="20"/>
      <c r="N23" s="20"/>
      <c r="O23" s="20"/>
      <c r="P23" s="20"/>
      <c r="Q23" s="20"/>
      <c r="R23" s="20"/>
      <c r="S23" s="20"/>
      <c r="T23" s="20"/>
      <c r="U23" s="20"/>
      <c r="V23" s="20"/>
      <c r="W23" s="20"/>
      <c r="X23" s="20"/>
      <c r="Y23" s="20"/>
      <c r="Z23" s="20"/>
    </row>
    <row r="24">
      <c r="A24" s="58"/>
      <c r="B24" s="57"/>
      <c r="C24" s="57"/>
      <c r="D24" s="57"/>
      <c r="E24" s="59"/>
      <c r="F24" s="57"/>
      <c r="G24" s="57"/>
      <c r="H24" s="37"/>
      <c r="I24" s="37"/>
      <c r="J24" s="37"/>
      <c r="K24" s="37"/>
      <c r="L24" s="20"/>
      <c r="M24" s="20"/>
      <c r="N24" s="20"/>
      <c r="O24" s="20"/>
      <c r="P24" s="20"/>
      <c r="Q24" s="20"/>
      <c r="R24" s="20"/>
      <c r="S24" s="20"/>
      <c r="T24" s="20"/>
      <c r="U24" s="20"/>
      <c r="V24" s="20"/>
      <c r="W24" s="20"/>
      <c r="X24" s="20"/>
      <c r="Y24" s="20"/>
      <c r="Z24" s="20"/>
    </row>
    <row r="25">
      <c r="A25" s="58"/>
      <c r="B25" s="57"/>
      <c r="C25" s="57"/>
      <c r="D25" s="57"/>
      <c r="E25" s="57"/>
      <c r="F25" s="57"/>
      <c r="G25" s="57"/>
      <c r="H25" s="37"/>
      <c r="I25" s="37"/>
      <c r="J25" s="37"/>
      <c r="K25" s="37"/>
      <c r="L25" s="20"/>
      <c r="M25" s="20"/>
      <c r="N25" s="20"/>
      <c r="O25" s="20"/>
      <c r="P25" s="20"/>
      <c r="Q25" s="20"/>
      <c r="R25" s="20"/>
      <c r="S25" s="20"/>
      <c r="T25" s="20"/>
      <c r="U25" s="20"/>
      <c r="V25" s="20"/>
      <c r="W25" s="20"/>
      <c r="X25" s="20"/>
      <c r="Y25" s="20"/>
      <c r="Z25" s="20"/>
    </row>
    <row r="26">
      <c r="A26" s="51" t="s">
        <v>760</v>
      </c>
      <c r="B26" s="60" t="s">
        <v>427</v>
      </c>
      <c r="D26" s="60" t="s">
        <v>428</v>
      </c>
      <c r="F26" s="60" t="s">
        <v>761</v>
      </c>
      <c r="H26" s="34"/>
      <c r="I26" s="34"/>
      <c r="J26" s="34"/>
      <c r="K26" s="61"/>
      <c r="L26" s="42"/>
      <c r="M26" s="42"/>
      <c r="N26" s="42"/>
      <c r="O26" s="42"/>
      <c r="P26" s="42"/>
      <c r="Q26" s="42"/>
      <c r="R26" s="42"/>
      <c r="S26" s="42"/>
      <c r="T26" s="42"/>
      <c r="U26" s="42"/>
      <c r="V26" s="42"/>
      <c r="W26" s="42"/>
      <c r="X26" s="42"/>
      <c r="Y26" s="42"/>
      <c r="Z26" s="42"/>
    </row>
    <row r="27">
      <c r="B27" s="60" t="s">
        <v>762</v>
      </c>
      <c r="C27" s="60" t="s">
        <v>763</v>
      </c>
      <c r="D27" s="60" t="s">
        <v>762</v>
      </c>
      <c r="E27" s="60" t="s">
        <v>763</v>
      </c>
      <c r="F27" s="60" t="s">
        <v>762</v>
      </c>
      <c r="G27" s="60" t="s">
        <v>763</v>
      </c>
      <c r="H27" s="35"/>
      <c r="I27" s="34"/>
      <c r="J27" s="34"/>
      <c r="K27" s="61"/>
      <c r="L27" s="42"/>
      <c r="M27" s="42"/>
      <c r="N27" s="42"/>
      <c r="O27" s="42"/>
      <c r="P27" s="42"/>
      <c r="Q27" s="42"/>
      <c r="R27" s="42"/>
      <c r="S27" s="42"/>
      <c r="T27" s="42"/>
      <c r="U27" s="42"/>
      <c r="V27" s="42"/>
      <c r="W27" s="42"/>
      <c r="X27" s="42"/>
      <c r="Y27" s="42"/>
      <c r="Z27" s="42"/>
    </row>
    <row r="28">
      <c r="A28" s="62" t="s">
        <v>758</v>
      </c>
      <c r="B28" s="59">
        <f>SUM(C19-B23*1.96)</f>
        <v>0.8792237412</v>
      </c>
      <c r="C28" s="59">
        <f>SUM(C19+B23*1.96)</f>
        <v>0.9807762588</v>
      </c>
      <c r="D28" s="59">
        <f>SUM(D19-C23*1.96)</f>
        <v>0.8277324827</v>
      </c>
      <c r="E28" s="59">
        <f>SUM(D19+C23*1.96)</f>
        <v>0.9522675173</v>
      </c>
      <c r="F28" s="59">
        <f>SUM(E19-D23*1.96)</f>
        <v>0.906627245</v>
      </c>
      <c r="G28" s="59">
        <f>SUM(E19+D23*1.96)</f>
        <v>0.993372755</v>
      </c>
      <c r="H28" s="34"/>
      <c r="I28" s="34"/>
      <c r="J28" s="34"/>
      <c r="K28" s="61"/>
      <c r="L28" s="42"/>
      <c r="M28" s="42"/>
      <c r="N28" s="42"/>
      <c r="O28" s="42"/>
      <c r="P28" s="42"/>
      <c r="Q28" s="42"/>
      <c r="R28" s="42"/>
      <c r="S28" s="42"/>
      <c r="T28" s="42"/>
      <c r="U28" s="42"/>
      <c r="V28" s="42"/>
      <c r="W28" s="42"/>
      <c r="X28" s="42"/>
      <c r="Y28" s="42"/>
      <c r="Z28" s="42"/>
    </row>
    <row r="29">
      <c r="A29" s="56"/>
      <c r="B29" s="56"/>
      <c r="C29" s="56"/>
      <c r="D29" s="56"/>
      <c r="E29" s="56"/>
      <c r="F29" s="56"/>
      <c r="G29" s="56"/>
      <c r="H29" s="63"/>
      <c r="I29" s="64"/>
      <c r="J29" s="64"/>
      <c r="K29" s="61"/>
      <c r="L29" s="42"/>
      <c r="M29" s="42"/>
      <c r="N29" s="42"/>
      <c r="O29" s="42"/>
      <c r="P29" s="42"/>
      <c r="Q29" s="42"/>
      <c r="R29" s="42"/>
      <c r="S29" s="42"/>
      <c r="T29" s="42"/>
      <c r="U29" s="42"/>
      <c r="V29" s="42"/>
      <c r="W29" s="42"/>
      <c r="X29" s="42"/>
      <c r="Y29" s="42"/>
      <c r="Z29" s="42"/>
    </row>
    <row r="30">
      <c r="A30" s="60" t="s">
        <v>764</v>
      </c>
      <c r="B30" s="56">
        <v>0.05</v>
      </c>
      <c r="C30" s="59"/>
      <c r="D30" s="59"/>
      <c r="E30" s="59"/>
      <c r="F30" s="59"/>
      <c r="G30" s="59"/>
      <c r="H30" s="63"/>
      <c r="I30" s="64"/>
      <c r="J30" s="64"/>
      <c r="K30" s="61"/>
      <c r="L30" s="42"/>
      <c r="M30" s="42"/>
      <c r="N30" s="42"/>
      <c r="O30" s="42"/>
      <c r="P30" s="42"/>
      <c r="Q30" s="42"/>
      <c r="R30" s="42"/>
      <c r="S30" s="42"/>
      <c r="T30" s="42"/>
      <c r="U30" s="42"/>
      <c r="V30" s="42"/>
      <c r="W30" s="42"/>
      <c r="X30" s="42"/>
      <c r="Y30" s="42"/>
      <c r="Z30" s="42"/>
    </row>
    <row r="31">
      <c r="A31" s="56"/>
      <c r="B31" s="56"/>
      <c r="C31" s="59"/>
      <c r="D31" s="59"/>
      <c r="E31" s="59"/>
      <c r="F31" s="59"/>
      <c r="G31" s="59"/>
      <c r="H31" s="65"/>
      <c r="I31" s="61"/>
      <c r="J31" s="61"/>
      <c r="K31" s="61"/>
      <c r="L31" s="42"/>
      <c r="M31" s="42"/>
      <c r="N31" s="42"/>
      <c r="O31" s="42"/>
      <c r="P31" s="42"/>
      <c r="Q31" s="42"/>
      <c r="R31" s="42"/>
      <c r="S31" s="42"/>
      <c r="T31" s="42"/>
      <c r="U31" s="42"/>
      <c r="V31" s="42"/>
      <c r="W31" s="42"/>
      <c r="X31" s="42"/>
      <c r="Y31" s="42"/>
      <c r="Z31" s="42"/>
    </row>
    <row r="32">
      <c r="A32" s="66" t="s">
        <v>765</v>
      </c>
      <c r="B32" s="60" t="s">
        <v>766</v>
      </c>
      <c r="C32" s="60" t="s">
        <v>767</v>
      </c>
      <c r="D32" s="60" t="s">
        <v>768</v>
      </c>
      <c r="E32" s="59"/>
      <c r="F32" s="59"/>
      <c r="G32" s="59"/>
      <c r="H32" s="67"/>
      <c r="I32" s="61"/>
      <c r="J32" s="61"/>
      <c r="K32" s="61"/>
      <c r="L32" s="42"/>
      <c r="M32" s="42"/>
      <c r="N32" s="42"/>
      <c r="O32" s="42"/>
      <c r="P32" s="42"/>
      <c r="Q32" s="42"/>
      <c r="R32" s="42"/>
      <c r="S32" s="42"/>
      <c r="T32" s="42"/>
      <c r="U32" s="42"/>
      <c r="V32" s="42"/>
      <c r="W32" s="42"/>
      <c r="X32" s="42"/>
      <c r="Y32" s="42"/>
      <c r="Z32" s="42"/>
    </row>
    <row r="33">
      <c r="A33" s="60" t="s">
        <v>758</v>
      </c>
      <c r="B33" s="56">
        <f t="shared" ref="B33:D33" si="9">((1/($B$30))^2)*C19*(1-C19)*(1.96)^2</f>
        <v>100.035264</v>
      </c>
      <c r="C33" s="56">
        <f t="shared" si="9"/>
        <v>150.437056</v>
      </c>
      <c r="D33" s="56">
        <f t="shared" si="9"/>
        <v>72.9904</v>
      </c>
      <c r="E33" s="59"/>
      <c r="F33" s="59"/>
      <c r="G33" s="59"/>
      <c r="H33" s="34"/>
      <c r="I33" s="34"/>
      <c r="J33" s="34"/>
      <c r="K33" s="37"/>
      <c r="L33" s="20"/>
      <c r="M33" s="20"/>
      <c r="N33" s="20"/>
      <c r="O33" s="20"/>
      <c r="P33" s="20"/>
      <c r="Q33" s="20"/>
      <c r="R33" s="20"/>
      <c r="S33" s="20"/>
      <c r="T33" s="20"/>
      <c r="U33" s="20"/>
      <c r="V33" s="20"/>
      <c r="W33" s="20"/>
      <c r="X33" s="20"/>
      <c r="Y33" s="20"/>
      <c r="Z33" s="20"/>
    </row>
    <row r="34">
      <c r="A34" s="56"/>
      <c r="B34" s="56"/>
      <c r="C34" s="56"/>
      <c r="D34" s="56"/>
      <c r="E34" s="56"/>
      <c r="F34" s="56"/>
      <c r="G34" s="56"/>
      <c r="H34" s="34"/>
      <c r="I34" s="34"/>
      <c r="J34" s="34"/>
      <c r="K34" s="37"/>
      <c r="L34" s="20"/>
      <c r="M34" s="20"/>
      <c r="N34" s="20"/>
      <c r="O34" s="20"/>
      <c r="P34" s="20"/>
      <c r="Q34" s="20"/>
      <c r="R34" s="20"/>
      <c r="S34" s="20"/>
      <c r="T34" s="20"/>
      <c r="U34" s="20"/>
      <c r="V34" s="20"/>
      <c r="W34" s="20"/>
      <c r="X34" s="20"/>
      <c r="Y34" s="20"/>
      <c r="Z34" s="20"/>
    </row>
    <row r="35">
      <c r="A35" s="66" t="s">
        <v>769</v>
      </c>
      <c r="B35" s="60" t="s">
        <v>766</v>
      </c>
      <c r="C35" s="60" t="s">
        <v>767</v>
      </c>
      <c r="D35" s="60" t="s">
        <v>768</v>
      </c>
      <c r="E35" s="56"/>
      <c r="F35" s="56"/>
      <c r="G35" s="56"/>
      <c r="H35" s="34"/>
      <c r="I35" s="34"/>
      <c r="J35" s="34"/>
      <c r="K35" s="37"/>
      <c r="L35" s="20"/>
      <c r="M35" s="20"/>
      <c r="N35" s="20"/>
      <c r="O35" s="20"/>
      <c r="P35" s="20"/>
      <c r="Q35" s="20"/>
      <c r="R35" s="20"/>
      <c r="S35" s="20"/>
      <c r="T35" s="20"/>
      <c r="U35" s="20"/>
      <c r="V35" s="20"/>
      <c r="W35" s="20"/>
      <c r="X35" s="20"/>
      <c r="Y35" s="20"/>
      <c r="Z35" s="20"/>
    </row>
    <row r="36">
      <c r="A36" s="60" t="s">
        <v>758</v>
      </c>
      <c r="B36" s="59">
        <f t="shared" ref="B36:D36" si="10">1.96*SQRT((C19)*(1-C19)/$B19)</f>
        <v>0.05077625876</v>
      </c>
      <c r="C36" s="59">
        <f t="shared" si="10"/>
        <v>0.06226751731</v>
      </c>
      <c r="D36" s="59">
        <f t="shared" si="10"/>
        <v>0.043372755</v>
      </c>
      <c r="E36" s="56"/>
      <c r="F36" s="56"/>
      <c r="G36" s="56"/>
      <c r="H36" s="64"/>
      <c r="I36" s="64"/>
      <c r="J36" s="64"/>
      <c r="K36" s="37"/>
      <c r="L36" s="20"/>
      <c r="M36" s="20"/>
      <c r="N36" s="20"/>
      <c r="O36" s="20"/>
      <c r="P36" s="20"/>
      <c r="Q36" s="20"/>
      <c r="R36" s="20"/>
      <c r="S36" s="20"/>
      <c r="T36" s="20"/>
      <c r="U36" s="20"/>
      <c r="V36" s="20"/>
      <c r="W36" s="20"/>
      <c r="X36" s="20"/>
      <c r="Y36" s="20"/>
      <c r="Z36" s="20"/>
    </row>
    <row r="37">
      <c r="A37" s="59"/>
      <c r="B37" s="59"/>
      <c r="C37" s="59"/>
      <c r="D37" s="59"/>
      <c r="E37" s="59"/>
      <c r="F37" s="59"/>
      <c r="G37" s="59"/>
      <c r="H37" s="37"/>
      <c r="I37" s="37"/>
      <c r="J37" s="37"/>
      <c r="K37" s="37"/>
      <c r="L37" s="20"/>
      <c r="M37" s="20"/>
      <c r="N37" s="20"/>
      <c r="O37" s="20"/>
      <c r="P37" s="20"/>
      <c r="Q37" s="20"/>
      <c r="R37" s="20"/>
      <c r="S37" s="20"/>
      <c r="T37" s="20"/>
      <c r="U37" s="20"/>
      <c r="V37" s="20"/>
      <c r="W37" s="20"/>
      <c r="X37" s="20"/>
      <c r="Y37" s="20"/>
      <c r="Z37" s="20"/>
    </row>
    <row r="38">
      <c r="A38" s="56"/>
      <c r="B38" s="56"/>
      <c r="C38" s="56"/>
      <c r="D38" s="56"/>
      <c r="E38" s="56"/>
      <c r="F38" s="56"/>
      <c r="G38" s="56"/>
      <c r="H38" s="37"/>
      <c r="I38" s="37"/>
      <c r="J38" s="37"/>
      <c r="K38" s="37"/>
      <c r="L38" s="20"/>
      <c r="M38" s="20"/>
      <c r="N38" s="20"/>
      <c r="O38" s="20"/>
      <c r="P38" s="20"/>
      <c r="Q38" s="20"/>
      <c r="R38" s="20"/>
      <c r="S38" s="20"/>
      <c r="T38" s="20"/>
      <c r="U38" s="20"/>
      <c r="V38" s="20"/>
      <c r="W38" s="20"/>
      <c r="X38" s="20"/>
      <c r="Y38" s="20"/>
      <c r="Z38" s="20"/>
    </row>
    <row r="39">
      <c r="A39" s="59"/>
      <c r="B39" s="59"/>
      <c r="C39" s="59"/>
      <c r="D39" s="59"/>
      <c r="E39" s="59"/>
      <c r="F39" s="59"/>
      <c r="G39" s="59"/>
      <c r="H39" s="64"/>
      <c r="I39" s="64"/>
      <c r="J39" s="64"/>
      <c r="K39" s="37"/>
      <c r="L39" s="20"/>
      <c r="M39" s="20"/>
      <c r="N39" s="20"/>
      <c r="O39" s="20"/>
      <c r="P39" s="20"/>
      <c r="Q39" s="20"/>
      <c r="R39" s="20"/>
      <c r="S39" s="20"/>
      <c r="T39" s="20"/>
      <c r="U39" s="20"/>
      <c r="V39" s="20"/>
      <c r="W39" s="20"/>
      <c r="X39" s="20"/>
      <c r="Y39" s="20"/>
      <c r="Z39" s="20"/>
    </row>
    <row r="40">
      <c r="A40" s="56"/>
      <c r="B40" s="56"/>
      <c r="C40" s="56"/>
      <c r="D40" s="56"/>
      <c r="E40" s="56"/>
      <c r="F40" s="56"/>
      <c r="G40" s="56"/>
      <c r="H40" s="64"/>
      <c r="I40" s="64"/>
      <c r="J40" s="64"/>
      <c r="K40" s="37"/>
      <c r="L40" s="20"/>
      <c r="M40" s="20"/>
      <c r="N40" s="20"/>
      <c r="O40" s="20"/>
      <c r="P40" s="20"/>
      <c r="Q40" s="20"/>
      <c r="R40" s="20"/>
      <c r="S40" s="20"/>
      <c r="T40" s="20"/>
      <c r="U40" s="20"/>
      <c r="V40" s="20"/>
      <c r="W40" s="20"/>
      <c r="X40" s="20"/>
      <c r="Y40" s="20"/>
      <c r="Z40" s="20"/>
    </row>
    <row r="41">
      <c r="A41" s="59"/>
      <c r="B41" s="59"/>
      <c r="C41" s="59"/>
      <c r="D41" s="59"/>
      <c r="E41" s="59"/>
      <c r="F41" s="59"/>
      <c r="G41" s="59"/>
      <c r="H41" s="64"/>
      <c r="I41" s="64"/>
      <c r="J41" s="64"/>
      <c r="K41" s="37"/>
      <c r="L41" s="20"/>
      <c r="M41" s="20"/>
      <c r="N41" s="20"/>
      <c r="O41" s="20"/>
      <c r="P41" s="20"/>
      <c r="Q41" s="20"/>
      <c r="R41" s="20"/>
      <c r="S41" s="20"/>
      <c r="T41" s="20"/>
      <c r="U41" s="20"/>
      <c r="V41" s="20"/>
      <c r="W41" s="20"/>
      <c r="X41" s="20"/>
      <c r="Y41" s="20"/>
      <c r="Z41" s="20"/>
    </row>
    <row r="42">
      <c r="A42" s="56"/>
      <c r="B42" s="56"/>
      <c r="C42" s="56"/>
      <c r="D42" s="56"/>
      <c r="E42" s="56"/>
      <c r="F42" s="56"/>
      <c r="G42" s="56"/>
      <c r="H42" s="35"/>
      <c r="I42" s="35"/>
      <c r="J42" s="35"/>
      <c r="K42" s="37"/>
      <c r="L42" s="20"/>
      <c r="M42" s="20"/>
      <c r="N42" s="20"/>
      <c r="O42" s="20"/>
      <c r="P42" s="20"/>
      <c r="Q42" s="20"/>
      <c r="R42" s="20"/>
      <c r="S42" s="20"/>
      <c r="T42" s="20"/>
      <c r="U42" s="20"/>
      <c r="V42" s="20"/>
      <c r="W42" s="20"/>
      <c r="X42" s="20"/>
      <c r="Y42" s="20"/>
      <c r="Z42" s="20"/>
    </row>
    <row r="43">
      <c r="A43" s="59"/>
      <c r="B43" s="59"/>
      <c r="C43" s="59"/>
      <c r="D43" s="59"/>
      <c r="E43" s="59"/>
      <c r="F43" s="59"/>
      <c r="G43" s="59"/>
      <c r="H43" s="37"/>
      <c r="I43" s="37"/>
      <c r="J43" s="37"/>
      <c r="K43" s="37"/>
      <c r="L43" s="20"/>
      <c r="M43" s="20"/>
      <c r="N43" s="20"/>
      <c r="O43" s="20"/>
      <c r="P43" s="20"/>
      <c r="Q43" s="20"/>
      <c r="R43" s="20"/>
      <c r="S43" s="20"/>
      <c r="T43" s="20"/>
      <c r="U43" s="20"/>
      <c r="V43" s="20"/>
      <c r="W43" s="20"/>
      <c r="X43" s="20"/>
      <c r="Y43" s="20"/>
      <c r="Z43" s="20"/>
    </row>
    <row r="44">
      <c r="A44" s="56"/>
      <c r="B44" s="56"/>
      <c r="C44" s="56"/>
      <c r="D44" s="56"/>
      <c r="E44" s="56"/>
      <c r="F44" s="56"/>
      <c r="G44" s="56"/>
      <c r="H44" s="34"/>
      <c r="I44" s="34"/>
      <c r="J44" s="34"/>
      <c r="K44" s="37"/>
      <c r="L44" s="20"/>
      <c r="M44" s="20"/>
      <c r="N44" s="20"/>
      <c r="O44" s="20"/>
      <c r="P44" s="20"/>
      <c r="Q44" s="20"/>
      <c r="R44" s="20"/>
      <c r="S44" s="20"/>
      <c r="T44" s="20"/>
      <c r="U44" s="20"/>
      <c r="V44" s="20"/>
      <c r="W44" s="20"/>
      <c r="X44" s="20"/>
      <c r="Y44" s="20"/>
      <c r="Z44" s="20"/>
    </row>
    <row r="45">
      <c r="A45" s="59"/>
      <c r="B45" s="59"/>
      <c r="C45" s="59"/>
      <c r="D45" s="59"/>
      <c r="E45" s="59"/>
      <c r="F45" s="59"/>
      <c r="G45" s="59"/>
      <c r="H45" s="64"/>
      <c r="I45" s="64"/>
      <c r="J45" s="64"/>
      <c r="K45" s="37"/>
      <c r="L45" s="20"/>
      <c r="M45" s="20"/>
      <c r="N45" s="20"/>
      <c r="O45" s="20"/>
      <c r="P45" s="20"/>
      <c r="Q45" s="20"/>
      <c r="R45" s="20"/>
      <c r="S45" s="20"/>
      <c r="T45" s="20"/>
      <c r="U45" s="20"/>
      <c r="V45" s="20"/>
      <c r="W45" s="20"/>
      <c r="X45" s="20"/>
      <c r="Y45" s="20"/>
      <c r="Z45" s="20"/>
    </row>
    <row r="46">
      <c r="A46" s="56"/>
      <c r="B46" s="56"/>
      <c r="C46" s="56"/>
      <c r="D46" s="56"/>
      <c r="E46" s="56"/>
      <c r="F46" s="56"/>
      <c r="G46" s="56"/>
      <c r="H46" s="64"/>
      <c r="I46" s="64"/>
      <c r="J46" s="64"/>
      <c r="K46" s="37"/>
      <c r="L46" s="20"/>
      <c r="M46" s="20"/>
      <c r="N46" s="20"/>
      <c r="O46" s="20"/>
      <c r="P46" s="20"/>
      <c r="Q46" s="20"/>
      <c r="R46" s="20"/>
      <c r="S46" s="20"/>
      <c r="T46" s="20"/>
      <c r="U46" s="20"/>
      <c r="V46" s="20"/>
      <c r="W46" s="20"/>
      <c r="X46" s="20"/>
      <c r="Y46" s="20"/>
      <c r="Z46" s="20"/>
    </row>
    <row r="47">
      <c r="A47" s="59"/>
      <c r="B47" s="59"/>
      <c r="C47" s="59"/>
      <c r="D47" s="59"/>
      <c r="E47" s="59"/>
      <c r="F47" s="59"/>
      <c r="G47" s="59"/>
      <c r="H47" s="64"/>
      <c r="I47" s="64"/>
      <c r="J47" s="64"/>
      <c r="K47" s="37"/>
      <c r="L47" s="20"/>
      <c r="M47" s="20"/>
      <c r="N47" s="20"/>
      <c r="O47" s="20"/>
      <c r="P47" s="20"/>
      <c r="Q47" s="20"/>
      <c r="R47" s="20"/>
      <c r="S47" s="20"/>
      <c r="T47" s="20"/>
      <c r="U47" s="20"/>
      <c r="V47" s="20"/>
      <c r="W47" s="20"/>
      <c r="X47" s="20"/>
      <c r="Y47" s="20"/>
      <c r="Z47" s="20"/>
    </row>
    <row r="48">
      <c r="A48" s="47"/>
      <c r="B48" s="34"/>
      <c r="C48" s="34"/>
      <c r="D48" s="34"/>
      <c r="E48" s="37"/>
      <c r="F48" s="37"/>
      <c r="G48" s="37"/>
      <c r="H48" s="64"/>
      <c r="I48" s="64"/>
      <c r="J48" s="64"/>
      <c r="K48" s="37"/>
      <c r="L48" s="20"/>
      <c r="M48" s="20"/>
      <c r="N48" s="20"/>
      <c r="O48" s="20"/>
      <c r="P48" s="20"/>
      <c r="Q48" s="20"/>
      <c r="R48" s="20"/>
      <c r="S48" s="20"/>
      <c r="T48" s="20"/>
      <c r="U48" s="20"/>
      <c r="V48" s="20"/>
      <c r="W48" s="20"/>
      <c r="X48" s="20"/>
      <c r="Y48" s="20"/>
      <c r="Z48" s="20"/>
    </row>
    <row r="49">
      <c r="H49" s="37"/>
      <c r="I49" s="37"/>
      <c r="J49" s="37"/>
      <c r="K49" s="37"/>
      <c r="L49" s="20"/>
      <c r="M49" s="20"/>
      <c r="N49" s="20"/>
      <c r="O49" s="20"/>
      <c r="P49" s="20"/>
      <c r="Q49" s="20"/>
      <c r="R49" s="20"/>
      <c r="S49" s="20"/>
      <c r="T49" s="20"/>
      <c r="U49" s="20"/>
      <c r="V49" s="20"/>
      <c r="W49" s="20"/>
      <c r="X49" s="20"/>
      <c r="Y49" s="20"/>
      <c r="Z49" s="20"/>
    </row>
    <row r="50">
      <c r="H50" s="37"/>
      <c r="I50" s="37"/>
      <c r="J50" s="37"/>
      <c r="K50" s="37"/>
      <c r="L50" s="20"/>
      <c r="M50" s="20"/>
      <c r="N50" s="20"/>
      <c r="O50" s="20"/>
      <c r="P50" s="20"/>
      <c r="Q50" s="20"/>
      <c r="R50" s="20"/>
      <c r="S50" s="20"/>
      <c r="T50" s="20"/>
      <c r="U50" s="20"/>
      <c r="V50" s="20"/>
      <c r="W50" s="20"/>
      <c r="X50" s="20"/>
      <c r="Y50" s="20"/>
      <c r="Z50" s="20"/>
    </row>
    <row r="51">
      <c r="H51" s="37"/>
      <c r="I51" s="37"/>
      <c r="J51" s="37"/>
      <c r="K51" s="37"/>
      <c r="L51" s="20"/>
      <c r="M51" s="20"/>
      <c r="N51" s="20"/>
      <c r="O51" s="20"/>
      <c r="P51" s="20"/>
      <c r="Q51" s="20"/>
      <c r="R51" s="20"/>
      <c r="S51" s="20"/>
      <c r="T51" s="20"/>
      <c r="U51" s="20"/>
      <c r="V51" s="20"/>
      <c r="W51" s="20"/>
      <c r="X51" s="20"/>
      <c r="Y51" s="20"/>
      <c r="Z51" s="20"/>
    </row>
    <row r="52">
      <c r="H52" s="68"/>
      <c r="I52" s="68"/>
      <c r="J52" s="68"/>
      <c r="K52" s="68"/>
      <c r="L52" s="20"/>
      <c r="M52" s="20"/>
      <c r="N52" s="20"/>
      <c r="O52" s="20"/>
      <c r="P52" s="20"/>
      <c r="Q52" s="20"/>
      <c r="R52" s="20"/>
      <c r="S52" s="20"/>
      <c r="T52" s="20"/>
      <c r="U52" s="20"/>
      <c r="V52" s="20"/>
      <c r="W52" s="20"/>
      <c r="X52" s="20"/>
      <c r="Y52" s="20"/>
      <c r="Z52" s="20"/>
    </row>
    <row r="53">
      <c r="H53" s="68"/>
      <c r="I53" s="68"/>
      <c r="J53" s="68"/>
      <c r="K53" s="68"/>
      <c r="L53" s="20"/>
      <c r="M53" s="20"/>
      <c r="N53" s="20"/>
      <c r="O53" s="20"/>
      <c r="P53" s="20"/>
      <c r="Q53" s="20"/>
      <c r="R53" s="20"/>
      <c r="S53" s="20"/>
      <c r="T53" s="20"/>
      <c r="U53" s="20"/>
      <c r="V53" s="20"/>
      <c r="W53" s="20"/>
      <c r="X53" s="20"/>
      <c r="Y53" s="20"/>
      <c r="Z53" s="20"/>
    </row>
    <row r="54">
      <c r="H54" s="68"/>
      <c r="I54" s="68"/>
      <c r="J54" s="68"/>
      <c r="K54" s="68"/>
      <c r="L54" s="20"/>
      <c r="M54" s="20"/>
      <c r="N54" s="20"/>
      <c r="O54" s="20"/>
      <c r="P54" s="20"/>
      <c r="Q54" s="20"/>
      <c r="R54" s="20"/>
      <c r="S54" s="20"/>
      <c r="T54" s="20"/>
      <c r="U54" s="20"/>
      <c r="V54" s="20"/>
      <c r="W54" s="20"/>
      <c r="X54" s="20"/>
      <c r="Y54" s="20"/>
      <c r="Z54" s="20"/>
    </row>
    <row r="55">
      <c r="A55" s="20"/>
      <c r="B55" s="20"/>
      <c r="C55" s="20"/>
      <c r="D55" s="20"/>
      <c r="E55" s="20"/>
      <c r="F55" s="20"/>
      <c r="G55" s="20"/>
      <c r="H55" s="68"/>
      <c r="I55" s="68"/>
      <c r="J55" s="68"/>
      <c r="K55" s="68"/>
      <c r="L55" s="20"/>
      <c r="M55" s="20"/>
      <c r="N55" s="20"/>
      <c r="O55" s="20"/>
      <c r="P55" s="20"/>
      <c r="Q55" s="20"/>
      <c r="R55" s="20"/>
      <c r="S55" s="20"/>
      <c r="T55" s="20"/>
      <c r="U55" s="20"/>
      <c r="V55" s="20"/>
      <c r="W55" s="20"/>
      <c r="X55" s="20"/>
      <c r="Y55" s="20"/>
      <c r="Z55" s="20"/>
    </row>
    <row r="56">
      <c r="A56" s="20"/>
      <c r="B56" s="20"/>
      <c r="C56" s="20"/>
      <c r="D56" s="20"/>
      <c r="E56" s="20"/>
      <c r="F56" s="20"/>
      <c r="G56" s="20"/>
      <c r="H56" s="68"/>
      <c r="I56" s="68"/>
      <c r="J56" s="68"/>
      <c r="K56" s="68"/>
      <c r="L56" s="20"/>
      <c r="M56" s="20"/>
      <c r="N56" s="20"/>
      <c r="O56" s="20"/>
      <c r="P56" s="20"/>
      <c r="Q56" s="20"/>
      <c r="R56" s="20"/>
      <c r="S56" s="20"/>
      <c r="T56" s="20"/>
      <c r="U56" s="20"/>
      <c r="V56" s="20"/>
      <c r="W56" s="20"/>
      <c r="X56" s="20"/>
      <c r="Y56" s="20"/>
      <c r="Z56" s="20"/>
    </row>
    <row r="57">
      <c r="A57" s="20"/>
      <c r="B57" s="20"/>
      <c r="C57" s="20"/>
      <c r="D57" s="20"/>
      <c r="E57" s="20"/>
      <c r="F57" s="20"/>
      <c r="G57" s="20"/>
      <c r="H57" s="68"/>
      <c r="I57" s="68"/>
      <c r="J57" s="68"/>
      <c r="K57" s="68"/>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H991" s="20"/>
      <c r="I991" s="20"/>
      <c r="J991" s="20"/>
      <c r="K991" s="20"/>
      <c r="L991" s="20"/>
      <c r="M991" s="20"/>
      <c r="N991" s="20"/>
      <c r="O991" s="20"/>
      <c r="P991" s="20"/>
      <c r="Q991" s="20"/>
      <c r="R991" s="20"/>
      <c r="S991" s="20"/>
      <c r="T991" s="20"/>
      <c r="U991" s="20"/>
      <c r="V991" s="20"/>
      <c r="W991" s="20"/>
      <c r="X991" s="20"/>
      <c r="Y991" s="20"/>
      <c r="Z991" s="20"/>
    </row>
    <row r="992">
      <c r="H992" s="20"/>
      <c r="I992" s="20"/>
      <c r="J992" s="20"/>
      <c r="K992" s="20"/>
      <c r="L992" s="20"/>
      <c r="M992" s="20"/>
      <c r="N992" s="20"/>
      <c r="O992" s="20"/>
      <c r="P992" s="20"/>
      <c r="Q992" s="20"/>
      <c r="R992" s="20"/>
      <c r="S992" s="20"/>
      <c r="T992" s="20"/>
      <c r="U992" s="20"/>
      <c r="V992" s="20"/>
      <c r="W992" s="20"/>
      <c r="X992" s="20"/>
      <c r="Y992" s="20"/>
      <c r="Z992" s="20"/>
    </row>
    <row r="993">
      <c r="H993" s="20"/>
      <c r="I993" s="20"/>
      <c r="J993" s="20"/>
      <c r="K993" s="20"/>
      <c r="L993" s="20"/>
      <c r="M993" s="20"/>
      <c r="N993" s="20"/>
      <c r="O993" s="20"/>
      <c r="P993" s="20"/>
      <c r="Q993" s="20"/>
      <c r="R993" s="20"/>
      <c r="S993" s="20"/>
      <c r="T993" s="20"/>
      <c r="U993" s="20"/>
      <c r="V993" s="20"/>
      <c r="W993" s="20"/>
      <c r="X993" s="20"/>
      <c r="Y993" s="20"/>
      <c r="Z993" s="20"/>
    </row>
  </sheetData>
  <mergeCells count="4">
    <mergeCell ref="A26:A27"/>
    <mergeCell ref="B26:C26"/>
    <mergeCell ref="D26:E26"/>
    <mergeCell ref="F26:G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c r="A1" s="69" t="s">
        <v>770</v>
      </c>
    </row>
    <row r="2">
      <c r="A2" s="70"/>
      <c r="B2" s="70"/>
      <c r="C2" s="70"/>
    </row>
    <row r="3">
      <c r="A3" s="71" t="s">
        <v>771</v>
      </c>
      <c r="D3" s="72"/>
      <c r="E3" s="72"/>
      <c r="F3" s="72"/>
      <c r="G3" s="72"/>
      <c r="H3" s="72"/>
      <c r="I3" s="72"/>
      <c r="J3" s="72"/>
    </row>
    <row r="4">
      <c r="A4" s="73" t="s">
        <v>772</v>
      </c>
    </row>
    <row r="5">
      <c r="A5" s="73" t="s">
        <v>773</v>
      </c>
    </row>
    <row r="6">
      <c r="A6" s="73" t="s">
        <v>774</v>
      </c>
    </row>
    <row r="7">
      <c r="A7" s="73" t="s">
        <v>775</v>
      </c>
    </row>
    <row r="9">
      <c r="A9" s="71" t="s">
        <v>776</v>
      </c>
      <c r="B9" s="72"/>
      <c r="C9" s="72"/>
      <c r="D9" s="72"/>
      <c r="E9" s="72"/>
      <c r="F9" s="72"/>
      <c r="G9" s="72"/>
      <c r="H9" s="72"/>
      <c r="I9" s="72"/>
      <c r="J9" s="72"/>
      <c r="K9" s="72"/>
    </row>
    <row r="10">
      <c r="A10" s="73" t="s">
        <v>777</v>
      </c>
      <c r="B10" s="72"/>
      <c r="C10" s="72"/>
      <c r="D10" s="72"/>
      <c r="E10" s="72"/>
      <c r="F10" s="72"/>
      <c r="G10" s="72"/>
      <c r="H10" s="72"/>
      <c r="I10" s="72"/>
      <c r="J10" s="72"/>
      <c r="K10" s="72"/>
    </row>
    <row r="11">
      <c r="A11" s="73" t="s">
        <v>778</v>
      </c>
      <c r="B11" s="72"/>
      <c r="C11" s="72"/>
      <c r="D11" s="72"/>
      <c r="E11" s="72"/>
      <c r="F11" s="72"/>
      <c r="G11" s="72"/>
      <c r="H11" s="72"/>
      <c r="I11" s="72"/>
      <c r="J11" s="72"/>
      <c r="K11" s="72"/>
    </row>
    <row r="12">
      <c r="A12" s="72"/>
      <c r="B12" s="69" t="s">
        <v>779</v>
      </c>
      <c r="G12" s="72"/>
      <c r="H12" s="72"/>
      <c r="I12" s="72"/>
      <c r="J12" s="72"/>
      <c r="K12" s="72"/>
    </row>
    <row r="13">
      <c r="A13" s="72"/>
      <c r="G13" s="72"/>
      <c r="H13" s="72"/>
      <c r="I13" s="72"/>
      <c r="J13" s="72"/>
      <c r="K13" s="72"/>
    </row>
    <row r="14">
      <c r="A14" s="72"/>
      <c r="G14" s="72"/>
      <c r="H14" s="72"/>
      <c r="I14" s="72"/>
      <c r="J14" s="72"/>
      <c r="K14" s="72"/>
    </row>
    <row r="15">
      <c r="A15" s="73" t="s">
        <v>780</v>
      </c>
      <c r="B15" s="72"/>
      <c r="C15" s="72"/>
      <c r="D15" s="72"/>
      <c r="E15" s="72"/>
      <c r="F15" s="72"/>
      <c r="G15" s="72"/>
      <c r="H15" s="72"/>
      <c r="I15" s="72"/>
      <c r="J15" s="72"/>
      <c r="K15" s="72"/>
    </row>
    <row r="16">
      <c r="A16" s="69" t="s">
        <v>781</v>
      </c>
    </row>
    <row r="18">
      <c r="A18" s="69" t="s">
        <v>782</v>
      </c>
    </row>
    <row r="20">
      <c r="A20" s="69" t="s">
        <v>783</v>
      </c>
    </row>
    <row r="22">
      <c r="A22" s="73" t="s">
        <v>784</v>
      </c>
      <c r="B22" s="72"/>
      <c r="C22" s="72"/>
      <c r="D22" s="72"/>
      <c r="E22" s="72"/>
      <c r="F22" s="72"/>
      <c r="G22" s="72"/>
      <c r="H22" s="72"/>
      <c r="I22" s="72"/>
      <c r="J22" s="72"/>
      <c r="K22" s="72"/>
    </row>
    <row r="23">
      <c r="A23" s="73" t="s">
        <v>785</v>
      </c>
      <c r="B23" s="72"/>
      <c r="C23" s="72"/>
      <c r="D23" s="72"/>
      <c r="E23" s="72"/>
      <c r="F23" s="72"/>
      <c r="G23" s="72"/>
      <c r="H23" s="72"/>
      <c r="I23" s="72"/>
      <c r="J23" s="72"/>
      <c r="K23" s="72"/>
    </row>
    <row r="25">
      <c r="A25" s="74" t="s">
        <v>786</v>
      </c>
    </row>
    <row r="26">
      <c r="A26" s="69" t="s">
        <v>787</v>
      </c>
    </row>
    <row r="27">
      <c r="A27" s="69" t="s">
        <v>788</v>
      </c>
    </row>
    <row r="28">
      <c r="A28" s="69" t="s">
        <v>789</v>
      </c>
    </row>
    <row r="29">
      <c r="A29" s="69" t="s">
        <v>790</v>
      </c>
    </row>
  </sheetData>
  <mergeCells count="15">
    <mergeCell ref="A16:K17"/>
    <mergeCell ref="A18:K19"/>
    <mergeCell ref="A20:K21"/>
    <mergeCell ref="A25:F25"/>
    <mergeCell ref="A26:F26"/>
    <mergeCell ref="A27:F27"/>
    <mergeCell ref="A28:F28"/>
    <mergeCell ref="A29:F29"/>
    <mergeCell ref="A1:F1"/>
    <mergeCell ref="A3:C3"/>
    <mergeCell ref="A4:J4"/>
    <mergeCell ref="A5:J5"/>
    <mergeCell ref="A6:J6"/>
    <mergeCell ref="A7:J7"/>
    <mergeCell ref="B12:F1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13"/>
    <col customWidth="1" min="9" max="9" width="25.88"/>
    <col customWidth="1" min="11" max="11" width="21.25"/>
  </cols>
  <sheetData>
    <row r="1" ht="82.5" customHeight="1">
      <c r="A1" s="1" t="s">
        <v>1</v>
      </c>
      <c r="B1" s="2" t="s">
        <v>2</v>
      </c>
      <c r="C1" s="2" t="s">
        <v>3</v>
      </c>
      <c r="D1" s="5" t="s">
        <v>7</v>
      </c>
      <c r="E1" s="6" t="s">
        <v>8</v>
      </c>
      <c r="F1" s="5" t="s">
        <v>9</v>
      </c>
      <c r="G1" s="6" t="s">
        <v>8</v>
      </c>
      <c r="H1" s="5" t="s">
        <v>791</v>
      </c>
      <c r="I1" s="6" t="s">
        <v>8</v>
      </c>
      <c r="J1" s="5" t="s">
        <v>11</v>
      </c>
      <c r="K1" s="6" t="s">
        <v>8</v>
      </c>
      <c r="L1" s="5" t="s">
        <v>12</v>
      </c>
      <c r="M1" s="6" t="s">
        <v>8</v>
      </c>
      <c r="N1" s="5" t="s">
        <v>13</v>
      </c>
      <c r="O1" s="6" t="s">
        <v>435</v>
      </c>
      <c r="P1" s="6" t="s">
        <v>8</v>
      </c>
      <c r="Q1" s="7" t="s">
        <v>436</v>
      </c>
      <c r="R1" s="8"/>
      <c r="S1" s="75"/>
      <c r="T1" s="75"/>
      <c r="U1" s="76"/>
      <c r="V1" s="77"/>
      <c r="W1" s="75"/>
      <c r="X1" s="75"/>
      <c r="Y1" s="76"/>
      <c r="Z1" s="8"/>
      <c r="AA1" s="8"/>
      <c r="AB1" s="8"/>
      <c r="AC1" s="8"/>
      <c r="AD1" s="8"/>
      <c r="AE1" s="8"/>
    </row>
    <row r="2">
      <c r="A2" s="78" t="s">
        <v>792</v>
      </c>
      <c r="B2" s="79">
        <v>45294.0</v>
      </c>
      <c r="C2" s="80" t="s">
        <v>793</v>
      </c>
      <c r="D2" s="80">
        <v>1.0</v>
      </c>
      <c r="E2" s="81" t="s">
        <v>794</v>
      </c>
      <c r="F2" s="20"/>
      <c r="G2" s="20"/>
      <c r="H2" s="80">
        <v>1.0</v>
      </c>
      <c r="I2" s="80" t="s">
        <v>795</v>
      </c>
      <c r="J2" s="80">
        <v>1.0</v>
      </c>
      <c r="K2" s="82" t="s">
        <v>796</v>
      </c>
      <c r="L2" s="80">
        <v>1.0</v>
      </c>
      <c r="M2" s="83" t="s">
        <v>60</v>
      </c>
      <c r="N2" s="80">
        <v>0.0</v>
      </c>
      <c r="O2" s="80" t="s">
        <v>152</v>
      </c>
      <c r="P2" s="20"/>
      <c r="Q2" s="20"/>
      <c r="R2" s="20"/>
      <c r="S2" s="84"/>
      <c r="T2" s="84"/>
      <c r="U2" s="84"/>
      <c r="V2" s="84"/>
      <c r="W2" s="84"/>
      <c r="X2" s="84"/>
      <c r="Y2" s="84"/>
      <c r="Z2" s="20"/>
      <c r="AA2" s="20"/>
      <c r="AB2" s="20"/>
      <c r="AC2" s="20"/>
      <c r="AD2" s="20"/>
      <c r="AE2" s="20"/>
    </row>
    <row r="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hyperlinks>
    <hyperlink r:id="rId1" ref="A2"/>
    <hyperlink r:id="rId2" ref="E2"/>
    <hyperlink r:id="rId3" ref="K2"/>
  </hyperlinks>
  <drawing r:id="rId4"/>
</worksheet>
</file>